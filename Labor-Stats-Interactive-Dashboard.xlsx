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publishItems="1"/>
  <mc:AlternateContent xmlns:mc="http://schemas.openxmlformats.org/markup-compatibility/2006">
    <mc:Choice Requires="x15">
      <x15ac:absPath xmlns:x15ac="http://schemas.microsoft.com/office/spreadsheetml/2010/11/ac" url="https://d.docs.live.net/9e92a11fd2f04d83/Documents/Maven Analytics/advanced-excel-dashboard-design_course_resources/ExcelDashboardDatasets/"/>
    </mc:Choice>
  </mc:AlternateContent>
  <xr:revisionPtr revIDLastSave="11" documentId="8_{992AC3B9-6E03-48E7-AC96-1882EFF9D122}" xr6:coauthVersionLast="47" xr6:coauthVersionMax="47" xr10:uidLastSave="{D1979C59-1590-4668-BA8B-257FBF6F5CB2}"/>
  <workbookProtection lockStructure="1"/>
  <bookViews>
    <workbookView xWindow="57480" yWindow="-120" windowWidth="29040" windowHeight="15720" firstSheet="2" activeTab="2" xr2:uid="{DB438AB8-0F60-4224-9C67-97043B861F24}"/>
  </bookViews>
  <sheets>
    <sheet name="Data" sheetId="1" state="hidden" r:id="rId1"/>
    <sheet name="Data Prep" sheetId="2" state="hidden" r:id="rId2"/>
    <sheet name="Dashboard" sheetId="3" r:id="rId3"/>
  </sheets>
  <definedNames>
    <definedName name="_xlnm._FilterDatabase" localSheetId="0" hidden="1">Data!$A$1:$F$1919</definedName>
    <definedName name="_xlnm._FilterDatabase" localSheetId="1" hidden="1">'Data Prep'!$A$2:$A$12</definedName>
    <definedName name="_xlchart.v5.0" hidden="1">'Data Prep'!$O$2</definedName>
    <definedName name="_xlchart.v5.1" hidden="1">'Data Prep'!$O$3:$O$50</definedName>
    <definedName name="_xlchart.v5.2" hidden="1">'Data Prep'!$T$2</definedName>
    <definedName name="_xlchart.v5.3" hidden="1">'Data Prep'!$T$3:$T$50</definedName>
    <definedName name="Z_948164EF_B902_4A6C_8E3C_A935061C5153_.wvu.FilterData" localSheetId="0" hidden="1">Data!$A$1:$F$1919</definedName>
    <definedName name="Z_A1F01C08_243B_48FC_94A8_F102AEB1706D_.wvu.FilterData" localSheetId="0" hidden="1">Data!$A$1:$F$1919</definedName>
  </definedNames>
  <calcPr calcId="191029"/>
  <customWorkbookViews>
    <customWorkbookView name="Dashboard" guid="{948164EF-B902-4A6C-8E3C-A935061C5153}" maximized="1" xWindow="-8" yWindow="-8" windowWidth="1936" windowHeight="1056" activeSheetId="8" showFormulaBar="0"/>
    <customWorkbookView name="ShowAllWorksheets" guid="{A1F01C08-243B-48FC-94A8-F102AEB1706D}" maximized="1" xWindow="-8" yWindow="-8" windowWidth="1936" windowHeight="1056" activeSheetId="8" showFormulaBar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8" i="2" l="1"/>
  <c r="T2" i="2" s="1"/>
  <c r="B6" i="3" a="1"/>
  <c r="B6" i="3" s="1"/>
  <c r="B3" i="2" s="1"/>
  <c r="S18" i="2" s="1"/>
  <c r="D15" i="2"/>
  <c r="I9" i="2"/>
  <c r="I4" i="2"/>
  <c r="I8" i="2"/>
  <c r="I11" i="2"/>
  <c r="I6" i="2"/>
  <c r="I7" i="2"/>
  <c r="I12" i="2"/>
  <c r="I10" i="2"/>
  <c r="I3" i="2"/>
  <c r="I5" i="2"/>
  <c r="E7" i="2"/>
  <c r="E9" i="2"/>
  <c r="E4" i="2"/>
  <c r="E3" i="2"/>
  <c r="E12" i="2"/>
  <c r="E6" i="2"/>
  <c r="E8" i="2"/>
  <c r="E11" i="2"/>
  <c r="E10" i="2"/>
  <c r="E5" i="2"/>
  <c r="F8" i="2" l="1"/>
  <c r="F5" i="2"/>
  <c r="F4" i="2"/>
  <c r="F3" i="2"/>
  <c r="F12" i="2"/>
  <c r="F11" i="2"/>
  <c r="F10" i="2"/>
  <c r="F9" i="2"/>
  <c r="F7" i="2"/>
  <c r="F6" i="2"/>
  <c r="S29" i="2"/>
  <c r="S23" i="2"/>
  <c r="P29" i="2"/>
  <c r="R29" i="2" s="1"/>
  <c r="S33" i="2"/>
  <c r="P23" i="2"/>
  <c r="R23" i="2" s="1"/>
  <c r="T23" i="2" s="1"/>
  <c r="P13" i="2"/>
  <c r="R13" i="2" s="1"/>
  <c r="P6" i="2"/>
  <c r="R6" i="2" s="1"/>
  <c r="I16" i="2"/>
  <c r="P4" i="2"/>
  <c r="R4" i="2" s="1"/>
  <c r="M3" i="2"/>
  <c r="S3" i="2"/>
  <c r="M6" i="2"/>
  <c r="S50" i="2"/>
  <c r="M4" i="2"/>
  <c r="S49" i="2"/>
  <c r="P3" i="2"/>
  <c r="R3" i="2" s="1"/>
  <c r="S48" i="2"/>
  <c r="P50" i="2"/>
  <c r="R50" i="2" s="1"/>
  <c r="P49" i="2"/>
  <c r="R49" i="2" s="1"/>
  <c r="S31" i="2"/>
  <c r="P35" i="2"/>
  <c r="R35" i="2" s="1"/>
  <c r="S30" i="2"/>
  <c r="P33" i="2"/>
  <c r="R33" i="2" s="1"/>
  <c r="P32" i="2"/>
  <c r="R32" i="2" s="1"/>
  <c r="P31" i="2"/>
  <c r="R31" i="2" s="1"/>
  <c r="S22" i="2"/>
  <c r="P30" i="2"/>
  <c r="R30" i="2" s="1"/>
  <c r="S20" i="2"/>
  <c r="S19" i="2"/>
  <c r="S17" i="2"/>
  <c r="S15" i="2"/>
  <c r="P45" i="2"/>
  <c r="R45" i="2" s="1"/>
  <c r="P17" i="2"/>
  <c r="R17" i="2" s="1"/>
  <c r="S38" i="2"/>
  <c r="S14" i="2"/>
  <c r="P22" i="2"/>
  <c r="R22" i="2" s="1"/>
  <c r="T22" i="2" s="1"/>
  <c r="P48" i="2"/>
  <c r="R48" i="2" s="1"/>
  <c r="P47" i="2"/>
  <c r="R47" i="2" s="1"/>
  <c r="S45" i="2"/>
  <c r="P46" i="2"/>
  <c r="R46" i="2" s="1"/>
  <c r="P39" i="2"/>
  <c r="R39" i="2" s="1"/>
  <c r="P16" i="2"/>
  <c r="R16" i="2" s="1"/>
  <c r="S36" i="2"/>
  <c r="S13" i="2"/>
  <c r="S47" i="2"/>
  <c r="P20" i="2"/>
  <c r="R20" i="2" s="1"/>
  <c r="P19" i="2"/>
  <c r="R19" i="2" s="1"/>
  <c r="S39" i="2"/>
  <c r="P38" i="2"/>
  <c r="R38" i="2" s="1"/>
  <c r="P15" i="2"/>
  <c r="R15" i="2" s="1"/>
  <c r="S35" i="2"/>
  <c r="S12" i="2"/>
  <c r="S46" i="2"/>
  <c r="S16" i="2"/>
  <c r="P18" i="2"/>
  <c r="R18" i="2" s="1"/>
  <c r="T18" i="2" s="1"/>
  <c r="P36" i="2"/>
  <c r="R36" i="2" s="1"/>
  <c r="P14" i="2"/>
  <c r="R14" i="2" s="1"/>
  <c r="S34" i="2"/>
  <c r="S6" i="2"/>
  <c r="T6" i="2" s="1"/>
  <c r="P34" i="2"/>
  <c r="R34" i="2" s="1"/>
  <c r="P7" i="2"/>
  <c r="R7" i="2" s="1"/>
  <c r="S32" i="2"/>
  <c r="T32" i="2" s="1"/>
  <c r="S11" i="2"/>
  <c r="P44" i="2"/>
  <c r="R44" i="2" s="1"/>
  <c r="P12" i="2"/>
  <c r="R12" i="2" s="1"/>
  <c r="S44" i="2"/>
  <c r="L3" i="2"/>
  <c r="P27" i="2"/>
  <c r="R27" i="2" s="1"/>
  <c r="S43" i="2"/>
  <c r="S10" i="2"/>
  <c r="P42" i="2"/>
  <c r="R42" i="2" s="1"/>
  <c r="S26" i="2"/>
  <c r="L5" i="2"/>
  <c r="P25" i="2"/>
  <c r="R25" i="2" s="1"/>
  <c r="S41" i="2"/>
  <c r="S25" i="2"/>
  <c r="S8" i="2"/>
  <c r="H16" i="2"/>
  <c r="P28" i="2"/>
  <c r="R28" i="2" s="1"/>
  <c r="S28" i="2"/>
  <c r="P43" i="2"/>
  <c r="R43" i="2" s="1"/>
  <c r="P11" i="2"/>
  <c r="R11" i="2" s="1"/>
  <c r="S27" i="2"/>
  <c r="L6" i="2"/>
  <c r="P26" i="2"/>
  <c r="R26" i="2" s="1"/>
  <c r="P10" i="2"/>
  <c r="R10" i="2" s="1"/>
  <c r="S42" i="2"/>
  <c r="S9" i="2"/>
  <c r="P41" i="2"/>
  <c r="R41" i="2" s="1"/>
  <c r="P9" i="2"/>
  <c r="R9" i="2" s="1"/>
  <c r="L4" i="2"/>
  <c r="P40" i="2"/>
  <c r="R40" i="2" s="1"/>
  <c r="P24" i="2"/>
  <c r="R24" i="2" s="1"/>
  <c r="P8" i="2"/>
  <c r="R8" i="2" s="1"/>
  <c r="S40" i="2"/>
  <c r="S24" i="2"/>
  <c r="S7" i="2"/>
  <c r="M5" i="2"/>
  <c r="P37" i="2"/>
  <c r="R37" i="2" s="1"/>
  <c r="P21" i="2"/>
  <c r="R21" i="2" s="1"/>
  <c r="P5" i="2"/>
  <c r="R5" i="2" s="1"/>
  <c r="S37" i="2"/>
  <c r="S21" i="2"/>
  <c r="S5" i="2"/>
  <c r="S4" i="2"/>
  <c r="T34" i="2" l="1"/>
  <c r="T45" i="2"/>
  <c r="T29" i="2"/>
  <c r="T16" i="2"/>
  <c r="T4" i="2"/>
  <c r="T46" i="2"/>
  <c r="T9" i="2"/>
  <c r="T33" i="2"/>
  <c r="T28" i="2"/>
  <c r="T26" i="2"/>
  <c r="T42" i="2"/>
  <c r="T13" i="2"/>
  <c r="T7" i="2"/>
  <c r="T49" i="2"/>
  <c r="T48" i="2"/>
  <c r="T50" i="2"/>
  <c r="I17" i="2"/>
  <c r="I19" i="2" s="1"/>
  <c r="T11" i="2"/>
  <c r="T15" i="2"/>
  <c r="T41" i="2"/>
  <c r="T30" i="2"/>
  <c r="T31" i="2"/>
  <c r="T27" i="2"/>
  <c r="T35" i="2"/>
  <c r="T8" i="2"/>
  <c r="T43" i="2"/>
  <c r="T12" i="2"/>
  <c r="T3" i="2"/>
  <c r="T10" i="2"/>
  <c r="T17" i="2"/>
  <c r="T19" i="2"/>
  <c r="T20" i="2"/>
  <c r="T44" i="2"/>
  <c r="T38" i="2"/>
  <c r="T36" i="2"/>
  <c r="T14" i="2"/>
  <c r="T24" i="2"/>
  <c r="T25" i="2"/>
  <c r="T39" i="2"/>
  <c r="T47" i="2"/>
  <c r="T21" i="2"/>
  <c r="T40" i="2"/>
  <c r="T5" i="2"/>
  <c r="T3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<sst xmlns="http://schemas.openxmlformats.org/spreadsheetml/2006/main" count="3949" uniqueCount="81">
  <si>
    <t>State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</si>
  <si>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</si>
  <si>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</si>
  <si>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</si>
  <si>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</si>
  <si>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</si>
  <si>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</si>
  <si>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</si>
  <si>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</si>
  <si>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</si>
  <si>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</si>
  <si>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</si>
  <si>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</si>
  <si>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</si>
  <si>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</si>
  <si>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</si>
  <si>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</si>
  <si>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</si>
  <si>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</si>
  <si>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</si>
  <si>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</si>
  <si>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</si>
  <si>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</si>
  <si>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</si>
  <si>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</si>
  <si>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</si>
  <si>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</si>
  <si>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</si>
  <si>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</si>
  <si>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</si>
  <si>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</si>
  <si>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</si>
  <si>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</si>
  <si>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</si>
  <si>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</si>
  <si>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</si>
  <si>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</si>
  <si>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</si>
  <si>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</si>
  <si>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</si>
  <si>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</si>
  <si>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</si>
  <si>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</si>
  <si>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</si>
  <si>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</si>
  <si>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</si>
  <si>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</si>
  <si>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</si>
  <si>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</si>
  <si>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Industry</t>
  </si>
  <si>
    <t>Year</t>
  </si>
  <si>
    <t>Construction</t>
  </si>
  <si>
    <t>Manufacturing</t>
  </si>
  <si>
    <t>Information</t>
  </si>
  <si>
    <t>Trade &amp; Transportation</t>
  </si>
  <si>
    <t>Natural Resources</t>
  </si>
  <si>
    <t>Finance</t>
  </si>
  <si>
    <t>Business Services</t>
  </si>
  <si>
    <t>Education &amp; Health</t>
  </si>
  <si>
    <t>Leisure &amp; Hospitality</t>
  </si>
  <si>
    <t>Other Services</t>
  </si>
  <si>
    <t>Establishments</t>
  </si>
  <si>
    <t>Employees</t>
  </si>
  <si>
    <t>Avg Annual Wage</t>
  </si>
  <si>
    <t>INDUSTRY FILTER</t>
  </si>
  <si>
    <t>Selection</t>
  </si>
  <si>
    <t>DATE FILTER</t>
  </si>
  <si>
    <t>Current Year:</t>
  </si>
  <si>
    <t>AVG WAGE BY INDUSTRY</t>
  </si>
  <si>
    <t>EMPLOYEES  BY INDUSTRY</t>
  </si>
  <si>
    <t>EMPLOYEES  BY INDUSTRY (CLEAN)</t>
  </si>
  <si>
    <t>Others</t>
  </si>
  <si>
    <t>WAGE &amp; EMPLOYEE TRENDS</t>
  </si>
  <si>
    <t>Avg Wage</t>
  </si>
  <si>
    <t>COMPARISONS BY STATE</t>
  </si>
  <si>
    <t>Population</t>
  </si>
  <si>
    <t>Employees per 1000 Capita</t>
  </si>
  <si>
    <t>Average Wages</t>
  </si>
  <si>
    <t>MAP FILTER:</t>
  </si>
  <si>
    <t>Metric:</t>
  </si>
  <si>
    <t>Percentage: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</si>
</sst>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"/>
    <numFmt numFmtId="165" formatCode="#,##0;&quot;$&quot;#,##0"/>
    <numFmt numFmtId="166" formatCode=";;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color theme="1" tint="0.249977111117893"/>
      <name val="Calibri"/>
      <family val="2"/>
      <scheme val="minor"/>
    </font>
    <font>
      <sz val="8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5" fillId="3" borderId="0" xfId="0" applyFont="1" applyFill="1"/>
    <xf numFmtId="0" fontId="1" fillId="6" borderId="0" xfId="0" applyFont="1" applyFill="1"/>
    <xf numFmtId="0" fontId="4" fillId="5" borderId="0" xfId="0" applyFont="1" applyFill="1" applyAlignment="1">
      <alignment horizontal="centerContinuous"/>
    </xf>
    <xf numFmtId="0" fontId="3" fillId="5" borderId="0" xfId="0" applyFont="1" applyFill="1" applyAlignment="1">
      <alignment horizontal="centerContinuous"/>
    </xf>
    <xf numFmtId="0" fontId="3" fillId="4" borderId="0" xfId="0" applyFont="1" applyFill="1" applyAlignment="1">
      <alignment horizontal="centerContinuous"/>
    </xf>
    <xf numFmtId="0" fontId="4" fillId="4" borderId="0" xfId="0" applyFont="1" applyFill="1" applyAlignment="1">
      <alignment horizontal="centerContinuous"/>
    </xf>
    <xf numFmtId="164" fontId="0" fillId="0" borderId="0" xfId="1" applyNumberFormat="1" applyFont="1"/>
    <xf numFmtId="1" fontId="0" fillId="0" borderId="0" xfId="0" applyNumberFormat="1"/>
    <xf numFmtId="165" fontId="0" fillId="0" borderId="0" xfId="0" applyNumberFormat="1"/>
    <xf numFmtId="9" fontId="0" fillId="0" borderId="0" xfId="2" applyFont="1" applyAlignment="1">
      <alignment horizontal="left"/>
    </xf>
    <xf numFmtId="0" fontId="6" fillId="7" borderId="0" xfId="0" applyFont="1" applyFill="1" applyAlignment="1">
      <alignment horizontal="center"/>
    </xf>
    <xf numFmtId="166" fontId="0" fillId="0" borderId="0" xfId="0" applyNumberFormat="1" applyAlignment="1" applyProtection="1">
      <alignment horizontal="left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269999"/>
      <color rgb="FFFF7453"/>
      <color rgb="FFB2DBD5"/>
      <color rgb="FFE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tyles" Target="styles.xml"/><Relationship Id="rId15" Type="http://schemas.openxmlformats.org/officeDocument/2006/relationships/calcChain" Target="calcChain.xml"/><Relationship Id="rId10" Type="http://schemas.microsoft.com/office/2017/06/relationships/richStyles" Target="richData/richStyl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399306315854008E-2"/>
          <c:y val="8.0356287838121598E-2"/>
          <c:w val="0.51291190482067484"/>
          <c:h val="0.87496834950900337"/>
        </c:manualLayout>
      </c:layout>
      <c:doughnutChart>
        <c:varyColors val="1"/>
        <c:ser>
          <c:idx val="0"/>
          <c:order val="0"/>
          <c:tx>
            <c:strRef>
              <c:f>'Data Prep'!$I$15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5A-40A5-86CE-2B5FD40D0031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5A-40A5-86CE-2B5FD40D0031}"/>
              </c:ext>
            </c:extLst>
          </c:dPt>
          <c:cat>
            <c:strRef>
              <c:f>'Data Prep'!$H$16:$H$17</c:f>
              <c:strCache>
                <c:ptCount val="2"/>
                <c:pt idx="0">
                  <c:v>Business Services</c:v>
                </c:pt>
                <c:pt idx="1">
                  <c:v>Others</c:v>
                </c:pt>
              </c:strCache>
            </c:strRef>
          </c:cat>
          <c:val>
            <c:numRef>
              <c:f>'Data Prep'!$I$16:$I$17</c:f>
              <c:numCache>
                <c:formatCode>#,##0</c:formatCode>
                <c:ptCount val="2"/>
                <c:pt idx="0">
                  <c:v>20065896</c:v>
                </c:pt>
                <c:pt idx="1">
                  <c:v>96583443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5A-40A5-86CE-2B5FD40D0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0833224165563375"/>
          <c:y val="6.4216658038852403E-2"/>
          <c:w val="0.50863242979583301"/>
          <c:h val="0.905333514971528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Prep'!$E$2</c:f>
              <c:strCache>
                <c:ptCount val="1"/>
                <c:pt idx="0">
                  <c:v>Avg Annual Wage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Prep'!$E$3:$E$12</c:f>
              <c:numCache>
                <c:formatCode>"$"#,##0</c:formatCode>
                <c:ptCount val="10"/>
                <c:pt idx="0">
                  <c:v>93586.333333333328</c:v>
                </c:pt>
                <c:pt idx="1">
                  <c:v>90040.666666666672</c:v>
                </c:pt>
                <c:pt idx="2">
                  <c:v>74713.0625</c:v>
                </c:pt>
                <c:pt idx="3">
                  <c:v>68427.875</c:v>
                </c:pt>
                <c:pt idx="4">
                  <c:v>63896.895833333336</c:v>
                </c:pt>
                <c:pt idx="5">
                  <c:v>55605.9375</c:v>
                </c:pt>
                <c:pt idx="6">
                  <c:v>53607.208333333336</c:v>
                </c:pt>
                <c:pt idx="7">
                  <c:v>49366.8125</c:v>
                </c:pt>
                <c:pt idx="8">
                  <c:v>40790.1875</c:v>
                </c:pt>
                <c:pt idx="9">
                  <c:v>23286.416666666668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D-4A40-A8E5-C0B98ECB8131}"/>
            </c:ext>
          </c:extLst>
        </c:ser>
        <c:ser>
          <c:idx val="1"/>
          <c:order val="1"/>
          <c:tx>
            <c:strRef>
              <c:f>'Data Prep'!$F$2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,&quot;K&quot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Prep'!$F$3:$F$12</c:f>
              <c:numCache>
                <c:formatCode>"$"#,##0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74713.0625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AD-4A40-A8E5-C0B98ECB8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1077821600"/>
        <c:axId val="1077815360"/>
      </c:barChart>
      <c:catAx>
        <c:axId val="10778216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815360"/>
        <c:crosses val="autoZero"/>
        <c:auto val="1"/>
        <c:lblAlgn val="ctr"/>
        <c:lblOffset val="100"/>
        <c:noMultiLvlLbl val="0"/>
      </c:catAx>
      <c:valAx>
        <c:axId val="1077815360"/>
        <c:scaling>
          <c:orientation val="minMax"/>
        </c:scaling>
        <c:delete val="0"/>
        <c:axPos val="t"/>
        <c:numFmt formatCode="&quot;$&quot;#,##0,&quot;K&quot;" sourceLinked="0"/>
        <c:majorTickMark val="out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82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63013998250217"/>
          <c:y val="9.0205805855720564E-2"/>
          <c:w val="0.8668312703083304"/>
          <c:h val="0.7494556863046301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'Data Prep'!$M$2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Prep'!$K$3:$K$6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'Data Prep'!$M$3:$M$6</c:f>
              <c:numCache>
                <c:formatCode>#,##0</c:formatCode>
                <c:ptCount val="4"/>
                <c:pt idx="0">
                  <c:v>20063464</c:v>
                </c:pt>
                <c:pt idx="1">
                  <c:v>20594171</c:v>
                </c:pt>
                <c:pt idx="2">
                  <c:v>20961286</c:v>
                </c:pt>
                <c:pt idx="3">
                  <c:v>20065896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9-4E1D-B3C1-7E85C0FB2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112765552"/>
        <c:axId val="1112766032"/>
      </c:barChart>
      <c:catAx>
        <c:axId val="111276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66032"/>
        <c:crosses val="autoZero"/>
        <c:auto val="1"/>
        <c:lblAlgn val="ctr"/>
        <c:lblOffset val="100"/>
        <c:noMultiLvlLbl val="0"/>
      </c:catAx>
      <c:valAx>
        <c:axId val="1112766032"/>
        <c:scaling>
          <c:orientation val="minMax"/>
          <c:max val="300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Empoyees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6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58348973551263"/>
          <c:y val="0.34609137055837569"/>
          <c:w val="0.85045749514277391"/>
          <c:h val="0.51177664974619286"/>
        </c:manualLayout>
      </c:layout>
      <c:lineChart>
        <c:grouping val="standard"/>
        <c:varyColors val="0"/>
        <c:ser>
          <c:idx val="1"/>
          <c:order val="0"/>
          <c:tx>
            <c:strRef>
              <c:f>'Data Prep'!$L$2</c:f>
              <c:strCache>
                <c:ptCount val="1"/>
                <c:pt idx="0">
                  <c:v>Avg Wage</c:v>
                </c:pt>
              </c:strCache>
            </c:strRef>
          </c:tx>
          <c:spPr>
            <a:ln w="28575" cap="rnd">
              <a:solidFill>
                <a:srgbClr val="269999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rgbClr val="269999"/>
                </a:solidFill>
              </a:ln>
              <a:effectLst/>
            </c:spPr>
          </c:marker>
          <c:dLbls>
            <c:numFmt formatCode="&quot;$&quot;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Prep'!$K$3:$K$6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'Data Prep'!$L$3:$L$6</c:f>
              <c:numCache>
                <c:formatCode>"$"#,##0</c:formatCode>
                <c:ptCount val="4"/>
                <c:pt idx="0">
                  <c:v>64714.4375</c:v>
                </c:pt>
                <c:pt idx="1">
                  <c:v>66836.25</c:v>
                </c:pt>
                <c:pt idx="2">
                  <c:v>69592.166666666672</c:v>
                </c:pt>
                <c:pt idx="3">
                  <c:v>74713.0625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C6-4575-BD4F-2B47C6EC9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765552"/>
        <c:axId val="1112766032"/>
      </c:lineChart>
      <c:catAx>
        <c:axId val="11127655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2766032"/>
        <c:crosses val="autoZero"/>
        <c:auto val="1"/>
        <c:lblAlgn val="ctr"/>
        <c:lblOffset val="100"/>
        <c:noMultiLvlLbl val="0"/>
      </c:catAx>
      <c:valAx>
        <c:axId val="11127660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 Wage</a:t>
                </a:r>
              </a:p>
            </c:rich>
          </c:tx>
          <c:layout>
            <c:manualLayout>
              <c:xMode val="edge"/>
              <c:yMode val="edge"/>
              <c:x val="3.4959015121713427E-2"/>
              <c:y val="0.345219128096792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6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solidFill>
              <a:schemeClr val="bg1"/>
            </a:solidFill>
            <a:ln>
              <a:noFill/>
            </a:ln>
          </cx:spPr>
        </cx:plotSurface>
        <cx:series layoutId="regionMap" uniqueId="{D430B472-692C-4A9A-B8EA-FF1A8EC452DB}">
          <cx:tx>
            <cx:txData>
              <cx:f>_xlchart.v5.2</cx:f>
              <cx:v>Average Wages</cx:v>
            </cx:txData>
          </cx:tx>
          <cx:spPr>
            <a:solidFill>
              <a:schemeClr val="bg1"/>
            </a:solidFill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1H1pc9u4tu1fSeXzo5sYCICnTp+qpiTPdhzbSTr5wlJsh/MEzvz1d9GSE4tWbPc9vvVK6q5KHBni
Bhb2tPYG9O+b7l838d1Sv+uSOC3/ddP9+d6vqvxff/xR3vh3ybLcS4IbnZXZj2rvJkv+yH78CG7u
/rjVyzZIvT+oSfgfN/5SV3fd+//8G5/m3WWn2c2yCrL0Y32n+8u7so6r8pn3tr71bnmbBOk8KCsd
3FTkz/efA+0FabB8/+4urYKqv+7zuz/fb/zW+3d/TD/ryXPfxRCtqm8xlsk9i1BlMyHt+5d6/y7O
Um/9tiHVnrCVadnm+n328OzzZYLxr5HoXp7l7a2+K0tM6f7PxyM35Mcbf71/d5PVaTWum4cl/PP9
pzSo7m7fXVXL6q58/y4os9nqF2bZOIlPV/ez/mNz5f/z78k/YB0m//IInOmivfTWE2z+ipffl8lb
QkP3pBCcUio3MVFiT3GTMWrSFWb2JiavkGQ7JD8HThD563Q3EdHBkKVviQjfozajVBG+WvgJMISQ
PSBm2cIS5vgiE2BeFug3wDwMnALzbSeB+VQt/YeVeQMTZu8xyqQU1LpfdJNuqss9KlJBj4R4eOrK
eL0kx3YwVqMmSHy63kkk/tLRMi2XsKlv5lD4nrLhMRixtjoUm+5xZhPLstQKLevh2StMXiPRdlx+
jZxg89flTmKzH2c6uH1D80XVnmVbFhFk7TbgNx77egVolGScKraCZuLrXyHQdmR+DpwAs7+bfmW2
jIMfmX7rOIxaXAib2Ku1h+t4jA0h9p4gkkrC1+htqs3rZNoOz+OxE4Rmf+2k6pzffdfLMnpD3eFk
z8Lij25mq5Ox7T1FTEkpWzuhiat5jUTb0fk1coLN+WInsZnfxct2qe8e9u+bBACmqeD/2drlTOya
tPa4UIIzAs80viYu5zUSbcfm18gJNvPdxGaWwecsb7M3xEbtIRqwLJPT7XbNtPYsLhUTE2fzGlG2
g/Jr5ASU2YedVJhZlqZ3N1VwU1dvh8toz6RFLPZgryb+RiL5ZAqZDp0oyyul+R00j6YyRWc3I+gv
d2X17jUsyD/kZcC7cGpJALCyWZNUU5kIB5hktkm2xmqvFms7UJPhE6i+fN5JRTq4y0CfvWFQwChA
gpJwew3CRIkU2+OcM8nNda4zsXGvEGg7PD8HToA5+GsngTm6Xfpv6HM432MKhCV9CJUnnCYhfE9Y
NpPgNR8s6ir5fFGQ7XCsh03AOJrvJhhxHKRZ8IaUADf3CLCAj1/TZpP4TNl7hCvBLPUrflvREWtU
XiHRb4D5OXKKzW5mnmdZWi3fktHkcg9EskVs2Kj7FyzURtppIu3kqBAIxjdV5RWibMfk58AJJGe7
6f+P0tvgTSFh9h5IAJurB4JsAgnYf4RlqMaA/79/TW3YywJtB+bnTCbAHJ3vph3L2jd09ZzumZIL
S/LtimKzvTHxF8Rcvz/J/49ekOY3kNyPmuKxm07+5K2JZgW2kktqS7nSg0nwZStEASYBE732Koig
H3uVl+XZjsnDuAkqJ1c7qSWXPiqo747KeJnePqzPf8/IILsUVFHbWhMu9iQCk8g+iVLmWCu7f8HG
PcbmtVJtR2hz9ASny6OdxOkEy1PfRP3DOv33GI2VfyqpEtY6w5xgpCz4GSklI+tqwMTPvEai7fj8
GjnB5uTrTmJzmtVB+cZBgLlng082xc9azWZcZhNU2QhqmspcKdAkOnuVSNvReTR0As/pbjqes2WQ
3r2d3nBrj6FQw61HfuVxyCzsPYoSG0e4sBWaF8XZDst62ASSs8VOasyXoLzJ0jJI3xAW5PQM1D4T
a414mmRKBo+EvH8VLkxczqtE2g7No6ETeL7sprM5v2vfHd/p8u4N3c1IAoCtBEBrrmzSpSGBn1QW
eulWWmNPLNrrZNoO0OOxE4TOj3dSgc6Wun/bkI2hUIN4AEZt09NIsSdNkNDMXpuzid68RpLtqPwa
OcHkbL6jmJTl8savy7uqKt/QsNE91P2ZNKE8969JnIZYWpgWWBw1SXDOlq+U53fwbAyfYrSjsUBw
4wfe8m39jpJc2qjUbIUHYbRkpg2+Zv3+hBg4e4VEvwHo58gpNrvpdc4CFAfLrFq+oe4IxGo2QcPZ
ugAz5Qj4HrHR7YSezoeHrijnV8nyO1h+TmOKy24SaWdBWY7/53nwsEhvkH2ivkzRtPGT8p+4HdQE
0ERL0TawZjmfqM2rhPodRI8GT0G62k3nA4SyWr8lQuDPhAQJzbcHbGMjJ9gBSejasE34gXHbvCTR
7+FZjZxis5sNHOeZrvx3s6XOUFl7Q+vG0DrDUMa04F/uX5MeAYm6mrKYEmLdszbRodfLtR2n6fgJ
WuezndSk87tm+ZZdt6jnMEtw8AXb4zdCBEwdYJIgRMcXfNRjLvRleX6DznoeU1Q+7wQqzx8AWq3P
ygtt/OY/Pf1ko2rDUNRBeH3/QnLzmMtBVycqCOhNe0h+Jknp5FzS78XaDtFk+MZMduPQ05hZHy6T
vPSDt+zo5GxPKAvc50N32gSXsX4wHvhASrTCbRK+vVqs7bhMhk816HAnNGhDapwdHCd1dtcFN2/Y
acP4HqdoQyN87WEmOBFT7BFTgfdRT6zaa6T5PTwPM9mYJSZ5trPYfM109GD5//v4GvVqUDaUj6cE
t1k29EQjujahY2taZxobYLe8JNHv0VmNnGLzdTexuY/e5svobTNTidZAwaAXIK3vX5ueBzE3mtbH
w4YPfOjD3lglqKvY62WpfoPRxpymOO0m/fbBD97QsoGu5jikhsao7VEbzkrhHTTg8l+Rw+Oo7SVp
tuOyGjXB48Nu+psPUYyuzjc9EI18RzGozfqIzRgpb0RrqGjD2ZimXJ9VB6ewgckrJPoNLj9HTrE5
2UmbdpXV/zcZKduzTQTLlKw5g0k8gK51ZaMbGkdyV0Zv4nVeL9d2nKbjJ2hdzXYSrQ/6zsvekrIG
SmAF0HErtvseau7heC4xcTBnokEvSrIdl4cZTPD4sJsHcy/u0rTs42b5pidA4XGUjQOga6b6ngd4
bN2k3FNMqbHdbYUa6kCPrdtrpdqO0OboCU4Xf+2k3qyswcsx0j87mYPTBZwhbEYCusJhwrqNkRtl
JsoOYsIWvFae7Qhtjp4gdLWbMds1NAmXwty9YXsOSFHF0dFmrtm06W0QaJ9mnNHxLPUqMZokpq8S
aTtCj4ZO4LnezcrP9V33pldDEKQ0THG4/59L/9jCgW1jyFdh4X51JD62cC+K8ztY7mcxheTvnbRp
n+90gkMgD6b/DYgCjsZ2i+K/SayGE6BCUGEL0Df3r0l95xWSbMfj58AJIp+vdxKRL0uQn6lXvWmE
BnaAEBDT6jc+5j5Cw9nDh+LcxIi9Tqbt8DweO0Hoy27GAV/6DNeoeW+oMyDXbFvgsof1YY9JLxsu
gkAATVDzMdex2sOzV+TNKwT6DTYPM5kC8/+JWvv9dWo/75ybL6vl4v6yukc3qj3/7v3ccYXeZOg6
2t1q8lZu4uj2z/dIPW1klT8vwRs/ZD3yobVjswXo0aC7ZVn9+d4Y78FBx5u0cfjdlmMbwvt3LY55
4y0btBDSV9viNq74woUtoBjSkUz78z1XqLbauJINrJ1AUYlAinLMs/EWWrRsFJqk4ji4JZS0fl4T
eJHFPZK7nwuy/vldWicXWZBW5Z/vCQLMfPVro6wWruchDDGMvNd/XASHB+U3y0ts8fG3/1/RGV1V
xCU5SXPeVMWs8ZKgO9RWExy4vpmKxMn8PslOw4gY7aegS/lRl/d+rp3Szq2lDJqUknlvhqzpHCsU
Q6+dlMc8PPFoYcSO7aaR5xRpqcuDRyu9RfRRsg3JuclxYBqkmqKWRaeSq7JuY1cP+oR5ZndJ/NSY
WW1on/aNNM9bo3dj5/kH4sqCJ4/kJiGSWxaOmAJNxOSPF8sIYpYbdeadIPU6zSpphLO4QU32IOTc
K0wnKozikGgz/2q3hV10s5o3kh/aom7cfcvzSXbkysAInKGRWJVUuPVwQCvRXag0kGyRpXV34TNO
rmNKquGAu2l2EpbE1Qtc5Tg0DolcLZxCF8kws7o6jfa9NsVaG6LpLuOhUHNKBmtZpXlWOmGh8Cjb
dxtvoaUbJvPWcgl1WmGUaiaASDFLqrKu993S6M96EdBrTRg2Qctia6lZEhz03LD1Yqhycq5VFgUz
6QW9t2gDu/UWZJTc9Hms54Xv0WtCjGBwAllibqUOi6+G33cXnmghRkcD1S2YRfOvtGmjYSYyWvgf
Oj+BRHZvsaN+IH73SReWPwROYVByTUOflCc0w8Gt8yFqpbEvZC/yvymrU/+40iX2n1fGw8yg0mou
B53Sa4PFtPuSK9IZ3xitsHJB2UGevsq67EjnKklmjY4wyBUGHh3nDd7N6wjS0bBJk1k3FGbjGGYY
+hduQ0rh4PqmxJ/zlmH+YZRay7D13M91L+zPTa0x3G6JTuZFID76osZHm2WBRQp6DhQER4fn336b
NvkhH8wkWWAdWT2zAoZlCYy4aOedVRXDVT9kgLVBeEVOvMGO/eNhhESOi2MXQQT8cpad2IXRk3kQ
V4acDU3TnvleO3w0lOl3TthBeZmH89PzoghItSh1DyWMbQIptZCtnGcNjRfcld48tgoSOrTt+mtR
0ercsOxOzpLQ5aUzWHW29MLKOut7T3w2GknO2yaPLxiLvCVteXCYGTFXs4Cmcpl6UfMlZ2bY7ZMB
W9Zvze6iaZtKzfywxYonsRv1x7QTVrewMml/NkRRVh9pMBhibjUS26bREsvbBonQH8yqs9h+aXlG
Gs+SumBkcHqu/IHNQ+xIetMmHbALWM7bH33Y1/lX/DUJf+Rd210GiUmuQ4Hj3LPMwx4paUrrmZ/Z
5LqnI/JxZBTCMdwW2EbtECeLQWb5V6wMlEuGKZQyyrPW3S9NIy//Ll2ruwSXAkUwBokFDmhOxUEU
m9mJRQc/d9yu1IdeE2bRfujS7oIzqzis/aHvTllaY+llVuMpoovCwSHQNnvRdSHWRdoscZ3a0tlJ
6kdUX0fDYBifjVoOxWlFtaEv+s6GJHHPYH6HpO3tTwE3k+jSbUJ92CWGLmZuw9jR0HAYiKFPsJa6
qrCWndkGuWPbHhYiNxN96MYq7vY5rIp/nBfoE57db+SoMwBcZtjQY9GMSlFpjk/pWgYbmvKMXge1
QdhMEeWLv7tY1fRD6NowFMojUXYjWUvOfaFCz1FxgmcakRd2h9L1dPhNE916uWPVXnXLXFVFXzQs
BPFnnTtY+kOWpKlQTucZrr2QsWfoBY0IPsnEdjouCwnMq1iT87AaWPdF1W4R3VkypbRweF947iIx
G0o/JPA/Q+HQOvTEkZtSlVAny1BpPvIpG7RjETlEjhF45regG0onCDx1nqLN5m+rqd1ZNpAr2Xhd
OyNJVn/qs95YRFXpz7ExyhmrPf+IxbY7Z64bRE4SNK1DGOmtuS8T69AoW9GeZjwsjOCL5/O63Oe5
JdLQyfLeTWFksqM8V+bn0srpjCXmNyNtAqdK48iJ+rRyAr/t1CGJqPc9Ll1513nMdVKi0w9VLE7r
Vhf9Iop191Fk0vtmsSZdJHBScwQD7FIVbvqNcD/Zp6npuTM5JJZjVlJf2F4fzWQeFcyhQxSfBbkX
f6JhKR3bLKv9wag6x2i6bpZqb1g0SZt/aOIhObV4Uy/qVsYfYdbzb6Fd+1cNjy9aaXbhgS5Kvl/0
ReeYYZYeNEEWXHmliD+1CS+9fV2l6akNBzaPo2I4jg072kclJnCaok1LJ5YSZq9h2TWcTv53aiW5
Pw+HMt1XgZl98YUYlzYJbAenDet0JmTdneeiY44XNMncc2X5I9BSz+Oa80M6hN5+G1N6bnml5HPf
tNLe6XqEA/NS0+akKJPsQMVFH8/CmGVH0u/ovmeRj6Gb5Qdm59dzjTn+HUY6b+GlGnGU9i5pFn0i
6/Oi4u6VnfviwCiHaN8ybDEzQmNQ+30vxLnhV8UJDHZ/aKZpf9QaxD4aqqhd9KXWs4ryelbUfXjo
p6W4boJmuDXNODyxlT2c6FTbMZi4n8HnlpDoSTB330SJFoqxRRx9ymB1H8cnRZYwFca5e9xVuT6M
UjeemS2DE+KGVvPQbLITF1qOGuFzTx2jns1ATMrxCk4qEOnioNoYNT0KIbk7+NJvLfu4iGFFAx7A
MOQVRYzx/HPAETx5jpB4Cs6WjJ0Ik+ir8TNRl7bnHvNojDCkqWGz0y7/anUuDMY/fxiqseO1SAQX
wPDJUhLosOEhCDxWcWsvssznR6Uv4pkR1Pbi+Uc9DWRx8BL3/oxXZRLE89MQ3LNlbnSmOGaiJ+dp
jdDbau14VqoqOyllpl7YJVueR5CHEGyT8dC0MjfxIiqD2saJdTx0vvt55YJS34THsNIS0UgZ9Fje
5+c4LtfmHsHkFHq0keYCvGmw3icer2xd8WMtUkRX0jAR/MCgwgOnHYUPBNkHf2QkDf5uGiHcx/MC
PN2k6AGzsM4o6NLxct/NSWcpL8wujsRxXQf6sG0NdtSRNkNJ9p+pAp4icVstztriAJQ52TWxS9vU
DUpx7FW+Puxx/fqBVH37wmJumwsSStyEh5obFG/yFFExWlgG5mIXpZqLQMYz2uX/i21i2RznGRSy
nfF+o80Vi4qkCPIgs46pq4ODQPvYFE3fym7RuxU5r/KuGV5I6Z7aL9h02DBMC2URPHbzkWnQuH0b
C35sZK74m9TKOx7MBqFIHWf2IlW9SR1RDtgiz8P21LIoG6fSwJKZ6HN6ohE2bQNzyC16HNXQbjeD
naxEo+ZDKBQu/3luh2yZIjaHxBU4UHWk/HRzijJuNR6V0ONO+8msT0h2MpRV/jXm2DDRmMF14655
/qHb5idGrpyjSUtYbPLQxgxS5tuCHMei0IdpwtlRbCr/AInOi5o+UhMTVUfZXlq4rGw8yPRU03yl
lQl7cjzo0lZOSBKrdSxpxpd5M+jzLIz91HF7hMldi7iuRaxVnjdF07n73Cg5kovMWsYeLW+JXzJE
nUMa+xcqEnn8wrJskxTUB7VhkXBZLp04lDSw2qA3XOzwBLWEWeAG+dewM+Avm5Bjq4U2wvrnkSBP
dReXiUGr4J5xWAgXjW7i78XgS1z4uGNDGYh1O8WQP1RdV90qTeAy/dwd93sYkPOijouvTWMNZM4C
u7ssSlrEB4VXD8U+oqTgoOpJ7M+fF3DbmsCGjXWVsV+WTrTeLEp/aBS0PhkUgm7TCr8Rz2DHZczS
wGkL8yUa58neREP0qA2gcrBFcbPn5oIUQTkG/f1w3HCXL0sz9EKnL1Js0y5HNv787LY9bPy6A9yF
YMPUTL2AGtAF7BV2f9x5XXcRppF9apYKWY5l5siSnn/YE6gxM6VA0+E8JTyeNdG6JDJIXrpmfyxc
C4klviYDOwuKiCzx+QdRMPSbKof7aNH/B4+AyQnwYptrGDM/6EQuW0QQ2i8vTORw9cxQZRV9co1s
KE/ysAETwj2uTv3WTzpkJJJpp4hHN5gV3aUfROAJjBbJ0qwkQ/51kFofmoYAlQXWi+2b8ch+tEWE
5LilXn9RpZmdJf/UEAsw3TauCBsP36OUNNGOIO1VLpOyPKZDr+ZtWmcnSesHB57Z/+OoC4/CHuBy
bDDC9aSTfVd5Jq2aztfH2hTsSNEQ8y+ywl4YtMtOeNq9yB+O3utRDMTh1vDNAVB9HO/EHbZTlNIh
YaTQFj8WRcfvUC9rjjV37c/3hIiQJVidYoitT1nX0RcsHTo9pw+HejEhcJO+iauN4QM2twiP3Srg
bRAeEwImaZiboRJRedCLoWZ01nau+i5IFPF5k5WkPLe9DBrIcAXmIa361HUoDftLs07AIg7RyNcU
Wo6JBY6RDc4gsY90IsrwoMbnX8iqN1J8UhtYh7bhRSGIS8Wyj1ZYDp/1uL1iA87goK80yY8b3eel
Q0XZXVhtB2qsdCPwfhGII9cJisaTc+W1NDqzTCPSc5NEyccWbMO5FpVx0PFAXGQ9MYaDTKaRAxY7
HRxTFtQ8BS1tprNSWrXt+Fznp1XEJZnJOB/aedYXAxLoIThuVUBmvImtOnZq4hd26tRFYFXgvs2m
zZZsCNMMOkNCkEd1TmJy22oVgRQ3QuiL3eUjGdp7kX/R9B3+Lo1iyI5EBorywNa26x+KJkJWlBYD
3h0KuQ4+m8gF82LHY1xT5NA1P42t/gfY8qCdRcTTSNx73dnRkaeM7jLvhsS/YAkuXj6NvKKpPpas
BCA0l9DujCR5dJkNJvyFritS7KOjvruMTKpOPSGy6FLmpLztShOzaFloDXdMpDU/0wUZqag2Bsyd
GWAgpm4trRbiXuUEx1kWEQ35aYPVbMBo1ODmgqiKun2R93g8eBAwV9XggwhXSS/YomEuPrEWvku+
Dy1Lj4ourI2rLgvw6CIa4LVsM+WgcPyYlfRD2jZWdUkCwy/nEbaLf4F8NdMz0ss2nxlGwI+aRpcy
mtdVY8yGPM3buaAw4dbgYQelaYNEgso2kKe8cUl75HdG7MKvkiZA93MMTkvldTkcdDFyWIcGNlhG
rzY7fU1SS8cHKrCwwVJfCXpuBBq+4T4OAGeP3Td4OJJ16IsMvBkRkvUnLogQVYBty7ofdjW4F2po
uosVBWfFNYRhfkeueUitZeD6vrso67LND1dqJShsiznqTCtZqJapFYB6a62eXJOO+MEh2F5w87Ti
MONaWNhFhRLIzPzYwrrScuTMWVjW3/sga5v9LgAPvyrNEMWXrsXGQMLjiO1UJvkyIeHIxGrQ804e
Iv3piAkG/t79SVGDZPTBXclTS6Ie4URm0IX7mYrM8iSxPahpkhuoNMQ9x8Jyt+FsP7SpF3ws0wKC
EBPcyX4e0/IyHUjRfas7yYwGRI8VRZcqs7v6zOpici3CMOWzWrtBf6cMVDIWoSoo/9iTHCyw3yM2
ZtC/VibwxygD+Jnjg67AXuGo5kTQ4IrJLwjMo8pzLF1lOXPioMmN0HHdIQE3b8RWeBzrEmx9H4OU
3AeDNihQEiF3jxPT7EC1gSGvFAiyoW7CduXx15XJi5UxX5XXbsDc6cDz11/E9fPH/1xnCf6//3Ko
X/84fo/Xr59wTH/1BWDP/hbu5R2LjOX0l0Zpfn4WhFlLN9YmN354Uij9TSl09X1iv3lzo0568/iL
tB6q0PclT46I42cW9KRKOjma9qi+Oo5bF0qF2LMlQ5g03t+OY/YmfP+qUIruqvF7xdCFhSNcKJOO
+e66ToqzWwwJI4Kf9e3i6yIpwQUkjMLBI6of2TB869XDBDdQRGF4/fPjIikbneMvzz0+kVAT+RGj
8OHjTeabzhOGX6ekjaw7RdwKGSLNeW6AW8uRm362rDqPlmDYrHI/Lfqy5/OKdpbfzZDFmt+9VHOU
JjPaRfLY9q2+nke2kRaHrZ3E5Rk0Ojd6J4s6K/9uRVXYZXNDiDhkM09KTu5kl/X1Zex3Ml4qZeXu
DUtYIc49ERRQgIQEJUQB3ayTDz4xqzade7Glo9zJWliLUyL7AiJ7SUL6EyQ6afjDKBsUb16IdjcT
W2SyJk4IoZDNx75TLNckBpUkCWpf+OrObbM0LA6rBFXgw5g3pZaHQ+lVcGlDgCj7R2y6AXVfiIHJ
GE0/xgidXuDqcEgJLUa4OXOaWA8hU6UwRXAbkmgMVauMWcxH+YMaRbiv4ZZ1Ndd+5XHfMbgBH3LR
ctaXdEb4IFp2XAnQtBGKBgVDWorrCJFvvbBGY/j6SEaJRICNleOx5RNXeMhJRtD5gUF9zYxbYejG
pHNvkJ4s9mMFy2Y6qa6E+BZZplsdPVK3LRt4gs34XG6jSgreiyLrnD43r/tMZgZTt16PPSecBtkO
apLcpanntGFQBx9SF99iWDkwuvjqqxeievQxTKYtR+4BtXqwjfgGuklU76GZwADTzm4NGcuCoUxv
ChSpa9uojrIB9NV5YJCMnLGo6OurqDTNwXfQKBVjUZ5fiKeS4GS0wKEPMK6gevgk6AdP7cZhb+pb
Llqo3H5PxEDA6+u2LvkiUC4X33SNJSicUoCn+paZfaPtBWocZt6+gMpmMoqzPhbyfJB4SETR/vOE
lalEYIY9SPob1x4QhBxkRZ64/cJwk9LuD3qlO2yR5+dPJpYMz7RNdKyOigpW+0nW49lDaNl5ZXzH
GVyZGIddhTjBd5Iu8/E9iXUb8oHPgqTsae50I29SOFZg+vVVkouwn6UGPOqVnfiJTueFlWl6mTRB
Wn5/XszNTAkhOIg43I2Lu6LxtRLQloktqVtXabMYuu+drjQ2gVkjGOELExVJy3A6zRrjKqcoa0Fp
qjYb/0Bpq34BnyeLhc4NUHQgC8DOMw7Ttmn2EZyUVV+K7DuicgM2PIT1GlqQoGbVWyfMtWD3Sw8d
AMsktFJYVJ0nmliHCiWiJnIKH9Z2tPy9j1FpMMTNCe9QWX6J1SDTbY02JVyvQXHnGThnMHwT/9Sx
Ns3tdGDfS1BLRrIIqzKP64tiqII8RdLeoxNnZsikwXtIe5Ksn6to6I2rNs/do9LWcejNkmEw+5PE
L9IKtUeUDtxqViPlii8FwsABcSezO5hEaoQ9SY9NdCjgU6PAbYviBTUlm9kqLJVA+xPaRVF/Qa6K
zbq58tiZadGgY+KbtDIrtFC+xm1vBcK82raRFoz5pg8OcWU9UQjEe2BuYU5y4oJRQ+m6YqLYr1v2
sg7xqRVHIo1gxLIJoTj58mRbRF1UJq6f5d9yDS0qFqyMFD+jxEdiwMq6x3LYLuqonxO/63vp1L5u
C38Gg9+KS68YXONQJzxEJmwgUzhXgRgDhI43SWwfRLU1wpOVzMYWQi8TGltyHUbD5yEWURs5ZhyP
TivA6gOgLLV9/CNDrDp8Vgl4RNdhVtjjj3IwvUrNcwtJIhpn6hG7qPMCBBjF/eNt5RmoTaisC/ER
GYIHSB4Y6RgbVLmVRMuuFGmR79uNJs0VZ9lQnWqNwN2J40TTZGZ4btIdehzO9WuqUpd/bsyGYJNJ
5SHOaIp0jNGftw1Tq4nVl6jh4CYFECq4AHCyNZjbpx6x8/jbQJJSeyjZmhL0QYuiVnzE6qKFoXj+
iVNrhJom2F4Cv42j6agSTJ5YarP024S1X9lQj5uxrflo/ijyUThv0RSW+OaGbMAmbGldld6ZhGHB
Pn1eDDqdOZr0BBqZ8NWU+LJWlGQmcgysqQsUoJPPCU+TijlVVlvGXVb4BayRH5UpWWhXZsFFUyoP
Fif3rcxbeKqiTebgdt42bpyKesVJ7Cpx1TEdq94pWyKay0oZZjArrAHUFzaR6TuhyUGHO9wVZFR2
1NWby6zxEV0cuWFUjZrf4JqSD+M3zua9wyLNuuYF1mpq1xTuoTPHb9qk99/phJxg0wxEwvXTtijl
p6ZOTQSxltYUQWwzjPuWI8hCVk7aDtu2i2yGP7zqPrIFbTluaVaHLXWv3E6MW5oWwYAmmCCnbDSR
xVCaZL+Im7wMDgarj6B1bpuMMTXpVQLtlKSAGr0A4sSyKURA4AAprBoQxNmFiakuWJoMWZjST6ry
GXSryr1RgMpg9ai693qM2ncP2VyQGFBx2MrRpOi8gKMxfIIwnnTW+E9ZgUL4MrZD9BgGbTyuQ9G3
mTh3iw6/FfhsnGLvgZjbjwyp2X6udMPKWQ9/gem+MLVJlImp2QTVXdzhpNDNinhvE62qi4iM66z/
xLxmtFSVLrC1hngIspvKVBFNxy68YvgsaTr6x8QAZQUyQiSx1y+GRJDK27eZUbefEKVqLEcrQ4bd
x5oB1iQNDBtbjLdxPlq3GmZz7MRqYdYqRCR4YFC5Jn5CjkWwFCg5YymqSvpGNQMpE0IlfBs8bzVb
rc9oCsev/fuZ2G6JtCc6qhAuILqSqCGO1fUnoS5pBy56URjXTSIzWIdVeEt91TXRDJml76UvmYWJ
OxofiX4yVGrglraQ/+jBQdSad/K6rAl2SNWj3zA4gO/H+vAw55m1cFsj69CKGLMeCx436MldJjB6
WKVWd3F1IQWqIOG+W3EFYzBS05cap23gARIDil91aGA5X8PmoY0HS4k2sBS6Ai0a4fCibgTCQN0K
f9h9aDeXZpZkkAQsEHxTJKoxT31+tbk9iWcx+dEJwEjge3gQBU0zG4SDaNMw0cHo+70YGb86YvnM
bU03PBd04LpfFL4WuXJsSu3Qd7QuguLYjGvWWU6OaMc40V5i8DM38SWbFe3/sPdlS3Lq2rZfxA06
AXq8QGZWX2WXy9v2i8Jle6sDJAQCwdffgcv7nNWcWI7zfteDK5adlXRq5hwdJvBvseziq5X5vGh1
OZjuew7k173vTdHjNe570q2P+ZLEYW8rNVBimxH14+TP60qq5cGNggVTF33cJ3dZ7BLaDhD7JI0K
M9Cv2gA63FUthsXloeFBL5gMoEbXratDRFSuzjRNfP5cdPOW8yYOiV/9xdJVJAz1G+Pz9SxKVGaQ
enXrvqOtxVC010FvzNfjZFVxXmjJs5b0Udg/rNDayo8+7zgEbPmcJs2G/tRsdcHnibZUpqtuOOn4
FeQbczuaeN0hFBri+JKsiYBeCoJhEZ+sNn3+spGF6+iFmjiED2EO2XwfTfMQvceOUfrvoLoK97JD
TDeY2hoDEvcdDXunL0wC3TjvJq96U1NtslQ0pdunsXpNelUN30VqzRJaDJVt/EH9vK5xo7t1StTV
zIaRVC36ANIVF9ZD/fBAkzLS+rIUNp068UNUQzbjLgfoeVx+v2dmwZDeEzdZ8Q4q+7mIT8OQW1te
e8qk6O4GEvTIT2rh87rcQRzNpTyzvF89eQ8JYTZeFyoXvDpjrBSZrkFZxNjWu6mSK615lBfj3Apo
0BW0X3yKQFRBv4rdptF0zbHALlZ68slEviDTNQbHGjEg7yhbkgdvUXXRet6yKhSPXVqW+AFNxfGX
kZQQHdXgkHMcbjdTPr7ufqQgjFThLE+voG6OyrLZFNG+vIQBJDsw03w59sWYRBKXwzOCTeVrYBtC
rhtFBCX8cVvtassnxSK1dudSZ1Fqr7XfaLU8FiojUN2NEIxi4SrdTIT+WHLGov02z7sJdyraRizZ
91i1R0Fuo4y5srtLJJTG3ZNSq6rYaVVYCPjJSGSVuAZL1nFK2xJ1cXqKudjk2MZWK8jRhjmOyPAp
5VAQj+dedZS+eF6NIyDvssSdTSsvsYM0SSGOL8H5o2Spx5EeNX0uJlx9Y0UyZMVZifW4Y1kH8R2t
zSTm6Hnoy2PJBx/Eq7Kh6ww16GmHcLS4QIrU43P27VLFTHbcvlGV+A97yQQRSt2JBE3mkEC1Xjwm
Nhcp+VfSheM+DzlVwJIiAOd4FIDGK5H/GEc0NOPZSYlKq1krUBdjIytBPPgKk/vRf5yhLJYD7lck
dnMRfs+TcF+p8jhliSdt9+cCIwtHyPBP4yuLwjHAChcdT55sEf6uo/1xa5YlwUexxVbjinNYQBjh
Gn9dj3NZNr4CcBP4OxKsKZ41AdGYNflKAQDVtgRVE59+jR62TxRfWarouDg2bz9vhseocaAafta4
lOzk+L9sIvo+i6WLnn/d6ujt4/+5yW+fA1IAMqVMbY8TSIZILK9aFla6C3QoGy56TPeAY/E04zJ+
RgPODa3J24MyO2wo/ITO2zt+PSR0YwT0oVi24pH23uAuLWnf4SOpBcbmGsAcbKGgLbaj6OU9XlGB
OVryeHylb3cQEt4cVzi+XZNIJXq0xpqhWJOrzUNWjknz9mjfhkfBdIf7U+QSv3EiZXdcfCg2gXHK
E0hlUUjkosBfbmaMS/Gyg6Hy8w2uNDtu79tA2v3mcZa4yONbEukm/B5sehlG1zSL49Tfbmi0rzv+
x0CempenCApWra53vM8xWBDfAJFi+C08iJ47qviBfEwrnq9cynR8TQo+YPhMBBUrLt4tKHYfJ2DZ
xxdCzIof+cIr/OiG+JgO/U6O8x98wcX64jvecXkeeIXvFdDZ8+xKT1uZzLfZ21iRaqJzefl1y6la
HE4nyEzjS7ADGBxcWamxzy/JuBfxCyo3VS2tHaN5kE08cYaDEyVgooCQ2wLb7AAYALLBYxL+ujT8
mM5wTRxAj958oaqzRrEYtpuMTl0wV3NuYJtoOpp3/VKziaPPT2ji8Xnobyf8QNFIuod+9Phz61fg
diReE0BFI7D87gGEEQMosDqFoyeCm+VjMbCALoBt+zH2V4qlXJ1DNqZYYSonOl+duh5bbH8K0cDo
dA1zl9vDZzCqCusN74zR+uoXnKzmTjh19qJDv/ttyyckaV1ZJXA7LtnPOTOaqsMNm9iq2f4xE5VZ
55cxW8VaXM1vlx4on3CLMpC8Glek+TqRU7HHCVY56PGP25cEsLGuAV51DPE3/LSa9Io7kPj0uN5Z
yhQ/HAY4Pj9KoI9RDdIVuDLNUz3QGpDFVvT3mU0cPgHB6dHDLgRq1+dfIMuekM6xsx9Gx9JrzsYd
37G/QW8MbTlQw5HkGhAlSzRa375H7zQ0cwdggtz2ujjm0wytAUB4rqsZS2VWsA173rRhpVEQg4OM
1ldeZgdUkPpKA4tX3cDx60iqx1V+XlGesehmZdBRyweaqQOkNB7b3X2pWVbM76D97zd2gvI32sS5
WC3pphbQBYIU6hIgUPEl51mClhybIcXD36N8x1UVQ39sGz1hx3BzqUsw+N7upJoNkOhMxjJbbtad
9Kx8p3e/Rs8OxTRQhd2OtPiC9RbjK1rtjjsAmdhxDcwOMLSc0V4eKFUnUa+isqa9We2Xgm5iTF7z
0BXdQ1GMMASc89RMc/TvVSYqsBN2NPitaiis9Bg1VZeU7iMQyVXPHyBWUpw3jGzgk99De5lk43cK
JfmYfp5YBWji4rRfegoL1D7pj3vu09yARC3QcNRzkhjUlFBvU594jPIevG2z4C+jEhrcFcxUaH9d
yduzHK0CQNwgYXQ7LuvnctN1y7H+UfiA8APV/zF55dQfn4B6AveMqfT4O5LEMIs1G4cxyjUsAzrR
n9C5H9yG7JjFVOaoFtnDDuGaPSlM1GNW0v74l19DFjUlViKKvAz80xsEfyynEW9c2FxW1knq4urJ
i5Kvpl4hIsCD3nZG0+t1HI5ZzqP9gAMn8ET4kaMsm6/HPcb4zmPwDw/ALY8z1xJM45dfByKOYkuD
eQMP+61jG6TaS12rwfr8nX5bsPQb0DhWyQFGw7h1gJCTK1yetz3vR8NqMYJOf/aSwAxVzytYvOVG
pvwo40QecIxy6Y7T8j8nXGQ09pGaEX9McpseNGM7rGDn07Zke6plTcQ09P1JqA6z8fx2Q4ADH4ue
RiYPvjefkkjdQrfVldVvgK+/NPSHPhF8K17YcDhXk7/BymIGhwC8On0WcNLgrEvOA2YD9Jndwxjl
xwzqFgAvol7keJz7b7o74AV/YMuOw+PVOIdoG/5nHP8v8LvzwUTrVAKqelsaFTBgnAX6AMykfz7U
XwB0zKYYYn8cC5AV/iyOtv4PFoa10mPFUEr+Z4zEOhjTjJbl+SNUrsfopoU4HqqXh5LF5C7HI/u1
OP7zufwZQoAmEeMHAjFcPOhwjPP0z+cCM1cK+FbxZ7xnE8uYJMlRj09TBYPoblA6/+4+//2AkNtB
NVhABA1w8XA8//HitXBx0vUxez+GARsF19jxr8tNY5n7NbP/+QKTA7b77wd7XOGRdEfKBK91wzsO
/wpkhk7lfICx6f2vFWMV+wHaQzm0EXIO+VQtZ2XZ7t75NdtU2/vhWM8zh6UBPpwc+9FvzujPIx1n
hFbqeAdWVsKN/XdLxEbjaC23bHzfvU2qFXUd5njwmmFdl9Ui8QhE7jfMTJphc0BpEYnjRJTNRg/X
5ojO/kz6zJC4DlhatgZL/YiPY36w5EFuGfrJZn3js+zbMvvPF/HXx4gHdyhbCRgTRKL9TVmMfXec
0xAtD2LSx8oEsyCeoJ3I4N9tUeXz3yjZ/6fjkfhXZOERC/7nYVMGVCN4pZh/+LXtBS5GVccwCRNT
uwlvzvjfXR8g/+M1f5gYSOXL/7YcZCsDEr1Ihe3mqIJRJB9Po9Qd5gV8K8eG8c8HPNaXPwxTDAjQ
T4ejCnoUCOf/imeu2x6k24m+KofIadKUfV9mXwqHCfO7Kfj3Q+HRwRwDBTQ6/b8Zy3uW9pvnBb96
K0UWAnQE4ygde/z456v6JcX4w4UBK8Shfr7zFa8TrxDe9ucnF8fgZUoppovb01hMp5SEQ43g8QIF
b/497QM49MZMHNgqrXvYu5Kingmfk/4WuzUkOLwx2gL5uUtzYA/xU88I5+ZqQ21AzAMLUidha+CE
nVCmjDCSwICu0nwYT33n93RuYhMXU99WjgBqu8tCYrLiib7xebpAM5I9sqGHmOxec7FQSGb8UsgE
mIiCVOMKjUYp+7aLlMWj+FWglBF+TdT6raxAhV5hsyh+LmNvrYZeYyzdkD+nWLrRGh5lwLqkEQpa
k1boE2ATxgdQYhW+fMim7ijmoPA8Vn8LchSzPYaxHO50Pc09LMkINaCDbKG87pSv/wN5jNg2Rf2r
kPk5VMGsrbi/MHccm3g5LkCW0FvoIj3ZyuCQvUZXsdzEYCskb7oABbS8AM/vVPeSoeyl2UOxzTS3
16qIowMMmCCHTJvtrQ+j6zZlYyu07wG7AoEpwTLUSsyVYc2RV7DGfT0iD46kT3SkEIqf+Ahn2PiB
bHTZzQfwDQejhRowTosHM08gET5IC7SZtxAhQU5wFlCJJqrpExSd/97Qek7VDSnCmn5JSNjm6gGw
GbPvBkqVTk9qmKIYnTBeShjmBpEX4NJPg9nwbNs1pLvbYPICMrE0KM0SUjVbvrH1TtNpnmBf7tQq
0U3TyoEXlQKegzzu5vW1gPF5Ey3LUXAPdV8Ovfs0AHmJfF29UW6/1qIRfDgv7qoe67Y6D6IroKT8
VWcB+D7qRNhuj03nbWh0P6vBoYRBDBU1hSLGwpAeF32ClYybEqeRao3oBB0t9AMWcVM924FG3bmX
hJNacL4+k00S1W5yZReZL9mVjLP9undhuQKSYd6XrkibQIl4KOXcxcCMF/eBYVBf5ZxASo3ZJ16V
s90nHkvTBppAJVp12XxBswtIKR3IbWXjL0ZjOg6rLe7gAbFtmQuBpxtH7qzKkJ+Ukf5xV90cnzBy
5xNMU1mHEVv034T1z2mS21uXR/y2X6b5RCZA0NC+8KvFeNoKulbvSitG8PpWfocKlbWdsIhPyIeh
JYyON/BQ9GeYmsECD5bk+OpqG5pcDeV5xVdeV+jHXl0w/gLdA/s+Ut1ddEg6OPipImehYvNsc2Dz
dQeIZqqjzPCXNezV1y4aCFp5339Yq1SeoM+Pb/KYClmbKMrucsB0MBdPCIFTJXsH8FBCrzRn9HsC
qgf9TGKT9wsyI+TZbkN0SqZ+fj8tOQAHLAXttAV/k01u0zXp16phJXTZ1Se5pHS7hgLBf5vSXCUn
4+2MNkf2YqsXvGb+RzWTsm8jFrmbnkKO0ObJrN6FJdPok3pEAEzQWjesEuZrrCZ7F/B69NupSI4R
ysjBofJlhd3Lh/u41Ms10O/oRupMpG2F1e97skIhXe+w2wi0zTb6vNpx/TFGUWhSmexfp0kZRGQw
C/ngvk8YuaKz8GokxvkWQnYdbgrPRzjmEysftqTEQoyWqlmQ4pHdIPapszcujO6cWp/ekg7uDyC9
H8m6fYs9Yw95gumzTH5uAS3GsuahX8qWbCY75eU8PFgo5z9vcPudVQx6m0+119BAwFguOYHX32f5
VzDTps7SbrgYAAV1Gvfzu5AM+t0ktlk3ep75yyi28ZML8L7VY/ChYYmzqlY4PzCuFTA3TLwg9iYP
1fpE00l0DSJP1FfV270GydN/HIwca2uX5B0FiXBtU1dBThzDECwHWIeqItwp4P0LaAc4rwH6zDXz
0YiO1PO7oooMLKeJpl9dhGagrVCfKUTWTONTsRZIbkjHomio3MurOTHiCTodaDtW4V5SM9jL4kNy
UXYpvrqMvazok192xLBUl9HmG7JWev5jww25iLn0/oQycHueHSWsdvkIxlbzuY7FslwXVNvLiDo0
qXk50Rc6zPQ1Czb7oBwzr8u+7D88Bni7lCa9zyEsuMTYKdoxjPMz6suohjB/uYvcpL/sMfz3WZcw
KLMAJz+ILc6xlwWsSLGSFfAgoourEsRMY6dBXTTx7gXargznv6Q3STxAyl1k02fgcuMTHWBBTLaO
Pve922/5pMZTKLHkog3u5cOQx/ON8/n6NEzMfXBwPn3L9ILFIR235SGHl/EE7eT6mGSzvw2uXK8l
7BwGuE01XFjRw50/FlBYAvaATT5y7I4x4d7taSVeKkAnn8e9mj9gw+dXmGzl/Z5EMzRMhTzDKEzu
wHAjg2Lu4Zqv9m3IMN7dcN55ZJ40IPgnHowdGyhD4rNbET5jZ59zNNf7fudo7m8hVNJAB3rzgWc7
7bFm9wikKTVyF8D5NYvd88dq4RmQeRd9j1gKDdrdRvJdUvg0kTdStaUHpF3daZIt5XyKEcLfzXAx
W3a3RpY/AWXpHqJ8Gz52s/uK30EMziyTj1OPCkb5Uj0EqiC/JDaRN9TY9IuPmF+bDnkp95D6+BeZ
Lst4EWmX5Q0VSXmbM+OqM437gd70orIteNwcYSngu1ukCPRlrfaZLnWfseHBROD7b7doLHGvi3id
3d1IFxA9SXCQ7sMC3T9mIY/elQOVtilgQTUnQa17r45shRMo303c9lIb2UZuIBAhMpZEl3KZpv39
Vg3Oi8tResQtHQNcKBp3zaxc32j05K5rksO71ZDes+UeaIk6kjMS/mEtd7M1JkaUBeR6LGnXBCUi
LLakmD8Sie7PYR1xdiYFCic+QFZ0tcxFeUPSEA/qw55tLF3qLYwx9TcpFrv4usrBCFzGbhtcK5aJ
+Oc3oxG8aR11tYsY73QT5TQ8ywyqmTpFTtG7N5/QikZTNfFPi9BKVRia1AHHv/+rL0ils2wQ/qlv
5mgLk3rstqige4bbP8Shb4HT9PpQadmU9I/znKtqbrcC0TMpAPbJYD5UoDcbD4NMf8oT34k7LcDO
1v0AmLfZ5zAOddZvIH5Kr/TVIHNiThxE4b2WgEnbP+T5FAj4KQGJKZdca+4s6EhPyq3+n/N7ylxn
gOKO7B64K9z3haI0yZzd0osxLMlOfBGpTxuUcCIyDbh5SNHWuhTF+y3KTYnCzFeb7BqspDM+YODX
x+tAsAjBiXIStkOiCx+TAGtQXyalOFm45gi5T6Kl8C8gc3t2pUaYUfiyfNl3wV+4sF84IsMOd+fa
P6/QdpxYxdwlxuYRY5EoHOivcr/ttrR7cJn050U42tjR7rYuIdO0dd+T/tkNXdE6V2y1r2SO9XWZ
+28zZ/u5NB1oPB7YPRjGKm6SMK1ju2OzyZ/oJLLnEgIi18oFWA/GAwYMcmfk+j0xVr+zcF1Vp6ks
+d1kBvPsEVDETz7whV0DNeZlHfWBXvdGjW06jN1Zj4ygC42TE52FudWMRPepDvltakFaInkI5DVF
W9SmKUP8sy/9ZQ9pejh/sAm3MV3G6WSTwjxAP7hCuuhWVtNpjQMsUlw1eTEttqZJz6AhhSDSX08F
Lu60AeR+3uHJ/87Ae48XBX6tdZiUK/xI2j1gl8fmLwvdtVKhvsApsPfYdeTZI0+u8YMVH5XkyRcg
b+EM0Q69mJj259KW6ilSsWuWvhCf4qF/6RSUYByN27lMmfps1nQ2NcmM+ZzFzN34NGOhZi4o5EAB
HL1hNsVF8xgItwxLg2Y3e1RoS26WNZHftMjKL5rx5JNOsvVuAXPbEjua6wyQ8UeA76k+1rRg4W2K
x/uCsQx1KxbHYxDm33J9NMPb0B+7dkinV7Mg3+zUFRJEKMBkg+QWMkjTTA4WH3BNuwFYWK4qabIO
60hdRFKR+85O6asQYtZ1ivC2oVZdKapG43sbwF8YE2Kz5LovfFq2M8LTOodaS/Ob3pr5XxZdm2i0
zbL4Czbe1dU0qtblKpp10c5WRVdyJOnLoRtAFNaifQ2HuX0kJKhXv1QW2wM6z7PxDGoow0h2B+rO
3VqEn3W14yhp7sLk7atO5yCbCTDjgrCcLnyb5w1zBZMSfZq3QDG/L2CtlhqM3HIa1JLdAKTmkEwh
3QjFPGSjP3JISNm5L8V8m2/o3+oI5cjcdmyMyCkae2h+430hH+ep6z6XdgmNnrKp7eJojB/8WibP
YNcqClUQari6mFfRXVYUVTdY/Yb1FEYhFEo5itITKo7IPGRiTaLGs0OJt/UxsSdnFzgMoEjBIGqQ
UCRUrpczXwpQKb1GmBqKNHc62tilYdsoU9TU2cD2T8OEcLvH1CTr1KKrYHqqMXjNbhuXeN5tlyhO
4SZ7LDwypWqdjDL72kE2Gg3NElVBsTMIMx3ie43UGEMbdNsht7XfRT/5BnE1MdlaAf6qguUTau58
a4dlY72+3SqWZnEzeTRg9qlDtFaR1QEyb+rPzttRfuJc54a3K6YKaBS4cbLB1UsYTTGfOWq14doL
H/X/nsYpLOQkoH/qhxMZwbU9szgF93KBZ03OQ+u2HDlzT8pbjeeQI3lAegUlMziABTJ3XP6PPqJl
jPs4qWFrkUQUyCcClkk8v4G1kT0Ih7mjBzSaJizYW6SNHtQ99AIHD4J5uJffec7iUFygq94x38Zk
ovKzt6uIRD1UALoidLZMrQW2CCzH80eP5IWxuptRUIaHWNF4g3GPT37Ulx3sFp4Wtjxl1GtW+QGp
TKSb/TbcZh6XhwRAA5XF1ED0gnSz52wmVhanAkJVmd3E3o+bgQ5Jzqhx0Dvw8YxoLOTQQaZnWg0V
0n0KMRdKd0uxYm5Uooiq8oucy37bLFDYBUiqbCCp8t2an/gAB3B3sisUNxTYwWCqux2lX3ViUVcw
sGALo9bXST7S/FRue5ZfwPv1H23lu5cI6pq5Tg3MZ/AyY+6coDbpv8eDRpUF9btw+mSKiYp2cdCp
hHpPR5CPe+G3nyr7Gyr58kSgjr0CDizvTMyyRqeFv1fJtvUnm/UQay0URLCNumdFw1peIz9rL+ts
sFteh2HVw8XNMVSMobLrAHPOor/bPYbjkbkcFugC+6hv52zf3k8yWgMKhKg7oQJFh8iUJeTiinzu
W9ZX4TXaWdhsnfB1TN5XWmrSrnhX7jcHWzoyO9WC1mDYowXdiFOJOKGccBOy6ohevvMoHIgLKup0
aHYt+Bk+rYVF594nFcQ5KZzRDYtzY075Fk9XyWTKz90CS+3UlCzlpgGgKAk61BKRHn1VxL5NY+Ln
T5A+QDYBDStUdg00HeOCAilJoSsCuPXA0Xn3dT6iDr8PINxCjajF8lTqoruJ+GQgZfcE5gpo62wP
6Ua6+amtBkJBSUWzuMC3gAdTIkOuzqCtuxptN6rGAzB73SFYwNhg9J2PYnNk8tlzkdjwtOFhtzll
FT0paCt+RBAvATxUlt9FWIanL2guV/GuVL07qq4slVeoYAo49ksiX7FEZtslW3L13iAl7x4ySf6d
uwR3vlr3ALkag5ccYX4y1FbG60sViH9aXSdwCbCxgR0ukUu2YkzDrKAJfZ8APixbqsx6nQC0kO0K
bcy/1iyHj5DoKb9CzKeCPNGR55Fxc56R9fapcFNS0xI6ROG6HQr9ad9qWI62B3gqU9mmflpg6uoG
COSpXOhyzQsHddo07JCDcrYGnC4ctpBGoBtu7FBu6RkMEXjWOIOxsOVLtmDpjeB3QFwdbOa+zvg0
oigYtuk+89bf8TRBUk5MuC3PEELYD2soZ6iO5wFXCTVA+SV3ouJ1jwL8cYyOindCVM1Qo6beZF1o
RiFH0aMUiKasFJRXgEue9h4IQL0X1hYnvUBg12ZxL2GdD/gdTiCng2ykt+2S2X+vkxhOKZtCs85k
+1xitVhuwzw423bjUr2f4BX2OBwhIxoCCRSoT819hrCm20p0uoRMiG197RJGb6NIpK9bJ/VNQPTj
E7R6qoEGLP0KV4wfwDOUdGskmZSDYT6XW+vXTSHUzlUzO3khqw7rr8u6W5WkGznPxUo+RkzY8ADk
SmcAA0y/IX2jTz5LCsVD3UOI8WCgMIlPJRzgaApoClfDyGLSn2DcFh80CW5tsG+iqkN93orMjdVx
34rHNVsBQ2epYQ8IXsw+jVBZIKTJd58zxN59crOBhVoOwB6hqIRQii8Y8p37zKM15qitQtREqDzu
nYe9ZwLu8mXgPrp2CpO6dVKXj7Ofzc1MRng9kM95B1ygvIpYXH0EYixLDANevNp0z04hj6f3i9vS
a43XcqeNWqr1qNbiHtKZARBPOU3V1ZSJoWh3GqFwQsRfuAwkXbr3cMvK1gHcah2Get6MGfEnlC9I
Jd6MgDZwTT4JtoVPFMlTtZ18DOsk0ae+6ti/ISuO25zk80uFcv+S5AgdMFCgf4rxK6SOAm4cJP+f
4Lmp7gNI/otdZsy6yn+FQHl+sj7eWI2stTjBPNgRmoj4SoyGvL9gP3DIgqimrEVu2y1QtOhuHVP3
LwWwo60CGpURwcuIykS078eo6vJnhfjevsmB6iPxcUhAhUFpqbPs2+aB/ruTtsCD3Cs2KN0vLThw
uJg+oaM1vX3v8snk5HFWYsQqP+H9LdAmuRH+Z4gEAqIWRnANIBzNY75BSrMhiAVejbTNTBxmcR17
0av9GkLubX5hMqzkG0F6p75SpurnvGG5i+eorRaSrw6Ll4aaBZwW9BGKJrKIWwjvkh1lYxVvsnG6
cHG49lsAilkjbIGc83xYqy/FMMxYVEaru9BhHSMiJi3qPOgU2mgrOIegJYfGCnJklPFQVW3wQmPS
QMaeE0hBhTU/YmTYllMLQhNCvdNk100LMJaSa6iFLGeHiBxjcAQNwhXf4/HdkiE6VJ5lFgrnPppq
Rf5pCyK2Qt8HyxAiCx6UMpM3LbI4qyI5xTbz0/jq9b4kW41vsXJrVpOjJKt3K7AyXDHYJBVtgFgf
V5IXPKbdRfCwlOO/fMT3lNSSVRr/Bi18WYTbaJ7QMN+qbWJdgXxVWpXL+Tf03J8NIiD/YKBG3CBq
TLDSyKj5Cxs/xOg5VLD0W6zgIvnFeqeFJqCfXNZzqD3X6sgpjvvcpWVdug4izboDjzI1czaE8kX9
JLr++bz+zPbitBBaVcCuilwekIfgiv7MGUqywZrEZfldG3t4m/o34UevaYeBGBnQZb8hKv/MyR9H
hI0bd+PwDoPyPaIC/ihLAGhYzTH8Ej/6tyMub6qajAwO1PxUitxDBLfEIYLlQyqQlW+P4v+nOfwm
9T6JY9gs/sv18rc4h//bfX39+t/v4jsCIN5+5T+R9zlePoXYKxiwQNljDmMI/4q8ryq85z1JkVCK
OKIEf2IY/YpyyMj/wcv2SImERkhwCqhq/ivyPsNLkGDsRyYUZAaIvqfJ/ybN4a9cO77l0J+AF09h
mPnbSFaJTfMpyyMkE0W5qqXa9itP8+nDH+7Jb51APzP9K2RnHhH9SL5M/5oZsSegmgDmR1cQrCQf
4JxACePj6rFf4cL9zVQ51oQ/EPqHmxtuVJj8YcGFeOCv4U54FlDpInTnaksMfYwLt9xjZQH5syOH
2xa9/J00ArFRfztkeeQskBg+rwSOzGMZ+4NiKuiJjBAqsiu5OQaYfTTzHQgpDrgfEDtBsbHSjzHU
NOk59igj0SLCeX8pgCENl5FwBKAvS77WPiDt8GcoDTUB+TQbdfHrAOEFoOuJXlDr0su6I4CyL7a0
gWp3uPl/7J1ZU+NIuvc/kTqk1H6rxRtgsKEoqm4UFBTadym1fPrzE9Udp7rnPe/E3E/MREfMNGBb
ljKf/K8MOeWlyDHLFko3fNEGqzphUW12OOfTc7QM6dmIMWQHelwl+6VlBEnjHiPQ0JcXgQ70JwTv
+pzkRvdsN/GdOi5pSNhxRbYTvp9V6PmdYaDVILxcHy+iH8uPVV/r+1Wfsi9CTTOvUqNiZ7ZJxXBY
Sn+sq+mg1hHO2rUVe0eqKGCw4oUk2jdeMej9ja0N9ZkjDNJYxoFXldC7Q2Ft8GSnTAfiie3YM2Y3
stiORP3Wk1N/a63lDNW1JqOnthMzdOcYO7UX3TfS2twpD4gvs3sOQcuEWvibSy/P0t8mVZPt7Mrm
rDZF3Oe+mhBewEBfVj/GzibiEJfF18zNxdVlx0v8Se3d98zBNuQhL7ahLcVSk5WdpfOukw6TIoKu
5EeeFI7pw7QV92oBlOWjDqhvbaxJNwuIxbOzrJhCo7QD8NyIx2yFKjSA3O4R+l6TOVX9aCZEjHwt
K+w1tfuGRU7u6lkddo60FNOb8Ve9d2WZ7JMqeVu6rAliJIo3sevAx2urmZRhz8VJCDa+a4ty/UrU
gXIhmHC9VVfksF4/azlorVSVIE+zSPWUGt2nlZrHiLgBds6qD/UlzW+JGRzfCa0efuTakhXhGq9W
FSpD6p64BD2uHuutHQp/AuI7VwW5V+SvvKv6PDF5GzfRlpyd5/EXt2eebCOiKZXGYYIBI2aQnirE
94bqYzMiUL4ZbjKlM0CRhhhZmOpkr+RTRPyw/V2PRj0Aolpg2qz2Gk2FuLWI8DPnadI8hwhRbm2e
npk5mXwMA2mFJn/OJV0IZqcMd5gq1x8DETE+36z5o4GXvedggexsHYZriwXIR+dwRWKchqO5vihj
p5/JrBehWNb+rNjrGk6uNT1WlTv6sebK3VIal2oqv9p6VItDCjYtDW+AL1jeKitFBBHJkTHLGhGt
FB6BfSLzVoAFkrvKHMm6GAkdX4rWWm+dqVjmY0Hm4lL6CbSN6kUKg9Vz3k/YEhA4kYoVcyHqNhgX
2WdPBuaBeCg8hNGOnOg+GJLQ1XraCkwgTAidCHmZZ7aq5bmDU1X7SaIFepkVA5sWmkUBcutMvUo/
grI4uz7r09bAFDKg2SfqP77K3NwMXU0q4zNhqCOycqQvEy0VxD3rXkMvQXLjRoqELEaub34TDXwg
urYqUpIQt6QrnjNE4eYO5NO03+0Z0BMZAo6jU74QQtE95iXaJQ4ibp9/U8wmf3QlTRqdWrEM16Vt
HqQ6FM92tCibSlpEizeNln5ChFWr3rTKafRMJXH35qCD6oqovdXm2TyIUlFtwIKFU2e5utRjJDVZ
mX27/d92ZEWPyzJOb5aoQEQrrWp2cED6sS5Q0HijAXyYj4VxbHq1OnE4cMOhHNfKL9sIpAkQu75p
DQO2ypY2wVlWXwdFl4JbNu7gV73qEBW/EFmrRJH7Heaw9NtBqR7XHqulR/rFyGFcTuVl1o3mp8Ek
ecsbSeNdjiAdfNslcxDPSZGEHRblI6y/e1+YqfVaEDOc4NySGJ57u7woU26jGMDPUvn4uPl3pjKU
H7CxxbOuDvNDkdMyAwVc1o9xmaCv6FGkaSweuTXy3P6Zqf7fKfDfTYG/Etb/7zGQfDLiHxFx/m+e
FzPVlvv01xxICSnqcYKHVFRFRKgw7P01B9IYr+I4AZEnlfIfc+Dvcx9+KDIXyMixUYGJ/2TsI+Hn
nyMLsxj/MdUtGGBz4P99ZHGRcTgRRpyD7sTfppy6FCCZOrRs9QX7xiPq4gMpA+2LU2ovC8svfNmy
A8I/DQvS+lVpxVGfyuXYF+DM5IGZR3dE3NQtKiospcUCI120cZG0gjqxnaB2ehUwsWi+k9miXhUB
+UrlwhjomHb9xtnMpko1h2NsXzOZOg/TmgYYZsqbaiIsawDH8XRYnbBXhAiWyehOKtKkVpb3JIDg
Xh6MAfZqPna9vV5MakqCmoYXUhOn8YmIQzy9yxwdk5SEYUPRLtOqm3tIza+WUabwxlMBIVAkdwOZ
jzcZqmZfZY164NHvQhM/ywNy6RBs/Xmc4Vr1GQVXa5mH0pavPHAZ6ig5BZ3RzD/Syo3J6wQy190V
1y+LPzqBCd7C6Oz9BFboT0YxhwTJvuMB1nfYVKIgzS3DwzL8KogV95UBd6ublyjqSDrMVsbCdaji
0LVdb0rs6lq2/W4oFgzEyn207dlIe+ZDowMfznatXd1GFC+DNJuvpsx2pTtdVm0or1A8zm1aON2I
1shGtgQye9c1ejyFgkHNb6s2fxnXOr0gyTKOOn4RH0aHjb6JZffY6kr0KAzNvDHyBdReKc3uEA9W
ewuql567uphecJ/079uM/jyXeg6vV4/EU9Y2YbvSZWSZcuNImDPKugkJCmAY+FIhpHkYdKf5ZqeZ
bfkZzpDninIhFFqs/aootLNRrSztMIMkBsdq092iWCDQhXGKi+cKFr1khGrrRVOduj5iHV5rFvdW
wSyM9Q1bLb6bfFI8jU67swoaCLulazsB9/7dFpLUxTmKWeJFGj1noqgfgaNwvJVp/Uivi3bWrS0K
dyvVIi45+05YEBO6qyH8IgB01QDmlDkcmIoeFjK+zuOQx8Bl5MGEfQp0s05ld9BRfOBNTuUClIUg
oEWO+Mwepv7oRnJQFZ2UDj/uB65qh2W6SwjS5AIqvgTqXT2XjoYnWZsVnRb8SZvpYgxUkNMHEiiL
Z3OMlvyAJoUPT+fScrWhL1OvBBG7sh/Qn1CbFskL7D9obYlv8rRhTtrwc2tbJIeyeSibbwnP3z4l
444Ndh6dAAkzOh2Y0+K50SpUda3Rv6ftKvfYDpufILLzQ4QX9f7znWWwMM5Ojhp/nioS+xKviQJK
3JmWryMyvCBpc26NbRsrysQ4QVOPT31mQGwTFmH56fbBB3Qg12U0hy/2XPKDBd6LoylZRAKic5dQ
dXu5zyYjw7TEnZaZA6+2xq6E2lqEefO5pdMyUd9PjQuYlsQZZ6y1LZ4NdxJfp0pJa7Z8w750Zmwc
6zyiNG2eaqQUwLUiHgkRweDOqsescFLKlW9NRFOzK6ZyeCdFAwWYWlv3nPiXmzbSxDUiQ/g6taio
E+7I3Fuhl7+DXkNumGzM3udhTZEOr2gvW4BonGz2qlbuVyurH9u4RXlQDG74+W2VExt6Gi9El/Z5
VA2+NkjHrzOu3GIb5q0GawYX5kChBHhXUw/kPSbKd+auX/lH6jjf8P0vvgCS9ftsPfdVQq788jAq
/ZNsOZlKs/5epQ7jIPYM17kTw3ivTvFDIlUAtCE5lFn3YU7ujavXBYSB61fCvs69vtNlsh+s9Tnu
evqq1Nm5tfAse01khnmveKJZat8RAO0D+9joCUTbey3VrKvRZF/IL9DOFiVFQa45cWDZjY5SiijU
tFzO6eyiiM6CPqpPemVHDxq03r02C3ySdbxk3uRYCcdmMpQdVxrh0uQlR4q2O0hZNP6AcylBrKW9
VzH8QCt+thXtBVCtzU22jn1YiVI7kkfz1mnDoXLMC4Dblt0zEt2DXuCbEouXXnGApwnzXqu+3IG7
Dl65VDJUSn0JiGympUh0As6XFOFHKFvDl0m2vpfS9DlKVJ65Jv2uGebHCib75Nr5Xs+GBHXsyhec
WtpubscIHHzJb3NL+2Lh24DNb4/5vJRHsBP9QNRwHqic8sK5yikAQebVxFB1ClKTVh03mrRGjJer
9qnjxt9nhBoEpoy+qRqyDaXEUactH/rSXBuM8D9TYacHY2rV77al1AG51k+D1mevy6LoeOkk9U/Q
27460kcU4XY6QQQaLRkcK+uBLotDnK265nFKMzDvB8KNHtuyf4eVjkKVGoozB++pCcm5SZmNB6Eu
XrV2Y7hKUd3WmnUuWPMv3FZdSIya9gB1a4STGKuaNjMlo5knbwKjJyS310Tzsyd7mPwbcaRokdSi
pnml7wLFp0M4B8e9FzVaJZYJdntXtOZeQausGuq3NkEaurSIUbUtgQkNhWfqJHnAISh3nWF+ISpL
9Tens5fR9/jigFszydOnhQHtdnJGKurc3HmH0ZRXWE3tS7602wwBrIX0xFpOqD0m05MicsgpkdmX
zB4J2O4NUmsjO/s5dF3BcRkRIm2SEfSdInfs6dMu7/nduNTDZR3UM9WD9YUMmznAIcRkhVnbm5rO
OTeygXFSl+L7JDQsDhi9fZMJy+usdA0KniJW8iEdbT+p4O6ivHRcDwN2fCvnIddOvYi02Uv61ToL
tx13TtyWKo9E/EwxoXJvaeiDc13MLV9iDfrQxUoo82y8RQdmcMdUAFd1azbCM9aJbXAe63PtaPbJ
wPwbRi0MXIQC/pk45uFKZ2Gahcj50HUPbqWciZUwj0wK+V5T6zZM5yLyi8msjTDp5o+qpJQMYfrw
ZerS6dCQHfCVNIeaWOSFhNZ1w11sxC2K0eCSt9djXjKFlVIqJ7VmAcNb1R4QCPV+0w2Zn0XYhqGI
UTW0aL4Wo/hh94WD/TSa7nNLUe+6qOp2RAggEhIJkBSCDp+Z4W6uM3o1lH0sYssvnPVb1nV1E2SV
LPx5askX0XKNArIeLwMKXx9Rq7Ff6/WOY+Oy70jOolQt0nf4q+XDuskiciLi2bmkQ5xIWzy2WT8d
HD1XvhG/cubc2f+cbITaLZaVndtY8W7E/IvOf9MJkY8RjN3KI06Okge4dGUHre9RVozEcYzkkakw
pnoz7+dpjoNeXx+xBdrnORUaaRdOtl8qbY/xofcLjcxzWcc/4YT3+sCWJ9saXQQGzXDGfnNKJYwI
ItQIa3B0m8bt1YhME2etk1E2CY8TZU7iDgECulwLLX29Is3OS+3GHhUrlWEGS6Q1ewxFWUyADLo/
HuENr+ADb+gF+DFQRvwJa+S/MA77E/CYP8EP8xMIyT5BkWXDR5B3AJWYv3AT9m1AlPITUOk/wZXk
F9JifcIu7IZfZ4AYBZngDvEv2IwxTo/RhtdoG3IDwFnvUHMYd9giXtpVhxxvrGvq1uRUbthPsqFA
BQTXfbshQ/2GEWUbWqT12nA3bQhSCpTUxYsIpw1dcjacyd4QJ/L8wDSwHj+4Gx41bchUvGFUYkOr
MI9/x1UQeW05Zq/Thmmln/BWFRGyrYB4xZmKDLDt0WLJFI3Khow1G0Y2D0a6J+b5iahG2mIB0uj0
g/EvsndbTBIJSNmdqSHwi9p4S0gUD2gtcE8EewDOZZ9AXbx0ww/VmIZ3Ozez22lD9ISDPkLfUL4u
cx8RMLkq9CQpcUEuh/y4fkKD62ostwbRJZdmQw6LTi3u+qR84wAak4opWiDGaVjNG9oO6iAFgGw3
JHJAKPduf8KTUzQMxCKkctdt6CXjixVS6zxfBwJcfWagq76hnfon8KltGKhquG2A5IgnbUNIrQ0r
JWCuuiUKFAC1XYbiPq9a2/Q3A+yPqu0BW6MNdy01akLYBzc4lqNhzRxQuM678wnYytjUrumG4g4b
nrtuyO76CfLKT8DX+gR/R3WqniqG/tDUVucmqod617MwhljYjulWS4jaKGWDXvNzGo/TNxpntcBq
bZKOzCqBASbSp/YEL37fIg26h0ZOOPim7vAEsdJRvUiaG6mjUNzsg+uCVQv0Kg/0HrlF1/byI+nL
8mDrQ3roWtLvidL4mc/45/olsjk+9rd5N5acszrnSlqWfIiTobnqmbsG+dQy3WYGboe4dsIu0tMg
c53oxBv7wsEvCmw3qXdKVjrHAuiu+8Wo/Bf1+XeoDxHNv/Fc/8r9kSNaV38HfT5/5U/MR1PdP5g9
0J8S5g7MslFRf2I+mgYvCCn4y/jtqlsT9l/cnw33x285IAq4bq0t+hLQbqu71kl4F9h++XOY4rFo
/ycYkBD/wIBg5E3eF7U8QuX9/Iv1vGyRocw5ZZ0aUeQzLbAor8ui8qhEqtWbupEOsaZZaw/ruM+J
GSrVr9gEkRPkVVP2T6I0BspEN75acIbErTdlAKaEpDqPqcXWZ5GZm1WpNvrNNKObNojmLdEqussh
U6ZJQf1mClHKI+LFsmcQXZEVDc1dVSwZjSk86ii1nKa6NREBnKDSpHrMUmu5W4woesr0lrILxXpR
+lrup1raWzocCW5m1txmJefjMpuBBUwzF08JQ1TlpwlgteeW01YG0Uk3JDsIfKXoVs4vVmHN1xXt
6avaCE5wVIjLO+Ke0eSKZACH7uS4ncFp2C721SxZwSWpoYHp1unRKuPWPrvuIDO/X1RoEIVx3aMT
ZNgPHScMT9kCgpPSyA9N1E27bO3sFcVexR9GzRbNiAgieS/MqPo2TIt2nUhgl/t6yEhV63t22Bi/
AnxKvKxen5ddkJmtfBk45D1Haw1o0sVtM1NgREoFWkmTD4rOdRQvhHy35Llpxb4XFr1HWi5DK25a
jXm7u50Ipdt8k9hgVay6jZfmYHkW6POzm1HZK4bJ7fdpZrTDLunZJ1iqNCNQdOz/l9bKQwHwXTJy
MPBZtQkuJrPBJhIly6ggl7jnqC41ujrg4AJKZ8nyQDZIEmAlGB3Al2kKpyHjKBALGe8WMahc6Lhp
TF/ri+nDjlL1dSX1YZebPI27jVLj1GEs9HiQZr9j4Db3Yz03j1rVJTek5RUvNb5oL1KlNvmNEg9E
PCaxGojOviedpwtGQQMJZh8iybaZhptGm6k4jeOi3S203oaJ3bn3s9niTIu60R8R8JwSN5ptr9bL
nCBCHaefmYxQYJlSH4mnEMehxBZJnUP0nacB0x0hdO6PqJQaJG4/yHwfD614iop0PE6cEXao7W3y
+Kuof0Sg98acpwRycdaAsG/kdzwB6bHmbEwrXjxL148tR7strcI45YnJ2R4qeS/7xIo8s181jeOf
wF8FK6JzeG6fsKJ259ZR1x/FUEYB0VvL85g25SFaoWMokVHdzGsUpGo0hvT3NLdU59Zki/OGOsvA
Q2Ua+SZWjEBLovqLFbeDNyludcQrFX8doBsRSw5Rcc0NOnxpg8USOJT7ocYrT7u6AWlj5OrFTNrR
X/DGuzs6JwXxynSuRzefEmfAnea+KyOXIBe1+Flp+XKE5a59ECng1HlxwUyGt0xNjYCUsMk3Mbgc
tmA8znTidZ6Wr0QzmX6Vx+4cuFLYXR6gleN7BK1sk2a0HqYe5xMvSzLTuPx3V/xbv8nre5lWQQrW
mL4Nv/Ma7EvoG/5vKiT4WbxOr93Pf/2dP7dFG3ELDQwIQRCeoG2x2Jf+3Bb5VwzVNBJs8dK/tr6/
dkX3D7YWct5cwufpcNDYMP/aFdHRkHcKlWGZ1MYiY/lPtkXS4v9JjcBAINaBrUG5wwb8jyyPPAPQ
0YhCOyyk3L2wAFcNUkOdhXqGZ/NnuyuHXQOWBi6xboZF8AjVBh+L1IZTSErTNQoJ7SVKRwTNVZUD
arrq9HMerE1wmGS+EzFWFvHwUNF7SEBZ8d1QCIHUeUSJn2O9XXSVlIjZxdfFRUwPEQXXjxl1JreE
mq/nAsCTh2lU14Pd9hFqRpTZJxRkdELVIBxEO2GfTgAfka10N/idM88qcb4rs5ntJ94clUkEwR7t
NY2ONcKRK6QFfbR9+j2zW+UlLUrlKW4ri1PIXO1HGo5CspmhhFFG3KOXdoJy7i/Sid/pXuVDImX3
CEe9GGLJd66b0zlk6gTCEG2zV+P8o8HDRrCgi6uhUles9g2LOe6BZteuvHoixcUint5L7eGOQZrq
IyEunPCf4Nfv0CJXXjJXj8zB2u08oc0o8koyjXNMotz8tl7KW8NpXqIS9BaiY4Z9jr+7Fma1tqZ8
Sdcv+ZJ/b+FCaJ+vH2daq7/lhAAGjZ4k0EzNuEP4Kv00rXxuwadZB/Kw2UYQFm9vgewMkz+N0VPf
26ut3nPCV3as69CuvVs800pjPGuzjgG5AogES9RR1sMSow6l10vF/7I2D0RIrOgsldNAYNtrbWjd
E3yyRJWMy8bXmyLE64/NZjIPkbM6rJZDe49GtHsxcufJ6tMaRznqH61fsHBHuAJWmnEpyLI4FBTO
l2JtFFK+9OkLFpf4ZJA4bPt2vAl93Gh8U1Ry8HwbzuEycCA7wy0l2E9FMjsE3rdrSBfpo65oGIE7
NtNA1Pq1B5LeEYeMfkhPLFIjLA38TKa0bykSb9wMbN21ekMpW6Nh4k4XDkCwl8ATEjOf0ObxJo7h
+XZTp5hfbJLwbozSUr8bfPCgR57kl2mGOt/kWtY7zemIUtDnRb2ZgN9oRMlUFA5mNiwfBCKsyt7p
sGx+LK493RWiQwscV0YeFnaqM4kWsd+Umfb4uXz99/jzb44/QJuQ1P/3Qk+fQvXzbUjfxr/tD79+
7a+1XmNBJzrIQibLTOJsy/Zfa73+h816jr7SRpP3axv4c7E3xB+qieyXyRDNIOcT3sefi72h/sGi
zA6hm+aWmfUfyh8/hbO/qwUdEo1c1I8I92yir/7ZuGqKBZq8TuWhpkkhEPTshMlaub45DC+Llf9w
VNaMhrKHsMIE5yO36GHFlvzkaHnjq4Pz5EgnPymE7d7NY3ErHQN3ngII23Y0sqlK5dkZAxwLBCPT
WK2cgko1aLfFlCAYd9e4Suq71uj6tisuTSTVgDMHTkzDyUOtxWUVQ0JvmQ/SzwAU2WtaNcjy/kUW
7tNopjXwTi0wmGU/LKVRg4KEe0yAoOQcibpjI7sXzUkafzWljkHeVELCHJ8xPVzJk/8hO17eMpuX
ok4/6nhAmEUckm9b4qIlnL9ExechUR2Hf9e+WFpGTPOGw0wKHw+kmxQXHJCBVOxj1zlH1vsBnJhL
I90ojIeSUPQs/xC5MnuWxaWsna4PVBhEj7IB3TOQjfERuAyqcyzTHpCr46ekynuQjaGECb5eb0xE
fcjorNzVZLQCy1j829y4ANsP4fabmYHMJ3XxC67Cqrx44RI0pMWE5qCtl7guLu5SyLDoeckCt8SN
abDHVJMuwrHlDemNBeWyxl+Ie8PEa8N6unX1sVRtfWj1Dms4zGow5QtTtlvEb1GhgMB2YHeqOoSf
az5lvRnnu4wvGGh2K8sUgEZu/4SvO0e/aRE7oRTrDjPbepgcrp7e86KTaR8dTXn6vEnSlqLXxWj7
oLG5D7RFv5TSAXxSXWJgNOmLnH9gJr3IlDcVZ3DputK5Oy3DBFaT4XCy3UEw1G930cDPAiWc015j
Mq57Edrb8GFF1ubc48bi1N34TBZn7ucPijXJKgF98Iop/YFmmO9+5X9lkTl79JhUwTQ4WNtkze+U
XKVeo2Vd2M16R3KN63d99/L5fZcxfiZZcFuR+bju4oRbBpE8X32LV2qEtDypWvzBQ85dbfGzTsLd
6djcKvX2LHDWWL4U1AXBb+Kp1HgjPHmOJ5scVp3LxWH1aVn55kGyebrsKaK0tFzv0EU0vmv3Lza5
Ar5FUCEPHDeTw9P4eTGqhodigs3FEl/+IJBUhJFqtyewVTM0Im7aIu+j01K52hWvU+MLEA1sMAwG
+tA0RJoKEXZ5rQZlZ3BJVcl7iJP+xumVeR9bQrvV24jqkGEVYU5iCd0SOlEdWYXBr+YuQwMGzVDl
d2zz6mbiInhFJkXItFKENEd+oCVNLzIxz5+PF+DpelC1UWAoAmgYOdoTDZDVnlrydRuJm5/iRK32
s6rnIe5tHsPcqf3P7xYaUPeUqLq1SEFmCeEWqPAZ+2S4NHje+P6I9Fx3ddO5+z5mCyUL292BABQB
hsrG/7wBtjucR/ySGiuTzcIy5kqeb2N118Pn1zyMBNwMHbfRjEk7lJkWvTapqRzMhI+6KrwW1kbl
QN42qxdeQaL/+Aq0/CPOeX8uGrZQhV/wS+gSX1RadFK7sbq1U6y25mzunSn7oTBVMNIy/EY53CDR
nqk/rqpyiE2e0xp0AFI8cXe2xU1WUTN1q2Dp9deK5QvL4isJLQ6C2Qr7r7F3k4J0KWXmj2mT9BG/
W76NagPm3+y9VvTdcbIYb+0KI9+clipSZlMn4DRmUYw1FreJr06xc3cfjeKS0Hq9X7Vq2TcDi0lj
SOkjhaZ1QfIWplHjKbKb+lA6rGCljfXrc20S7izCz4eWbALpKzHTtjYkD/QWqkFnGhexbPrwSHE8
c8CxnWcTN1M7NxyWCSvJa1xeSatyHLCM+Tza+Qe4JJdm4Qn4vNYov/IgL/mTxLC4O6MCqTEQjQSK
Y7IEGmbr2XQmPQhtBbeoW0pfo/ajRSRjQ2SEPPQNwxzriaEU6U7rujdHxShP5Rlxd639XNZGHeZK
8qBM49kGpUKc5cSnJZ1RYSpFXwCegxCFIp/QcVYzNG1A+QmFfltsNd1dhhW6joZcYF277IfI6jnQ
msxFU62KJzMmr6F3GPTvFozWp5QKC8cjZgFPP5EJxhhuZiovqdPhgco2C+rSYvizdx0KtcxfcvK+
ABC6PlyNpNFIn2yVUxONr7iq63fcAW9GqtajF+tz/uGgalrBPpV17X0ejOmAW7LeYcmf3YbsFDr6
moyUlzIzpAJrK+DANSe6c6d6VSAZq6k/55Sa2IAjRl8eCIEflJclNqSfIPYv0Ea5+gDbV2gWLAfm
zrMpLbEQho6M9loR+XxKbOvfOC6YkP7mgmCuMSydIzOKPYvUd+au3y0JhUsGMjnZ48FOF5jLNflI
czYXvXKexq7Wua146oyUO/23EfDh1+T0ez3oP90Xn69raA7ZeI5q6+o/Ds/uwgnQHZrxoE2fix3P
oJ7m79Wk5N7c5B///1fbVIr/mN4MSk80C9EZRv5/9pavE70TALvjoVi4QbZJwM0jJaSiQ/31uf57
CPg3hwCN7K3fvpP/BweSs4C+9r+jPb9+588TgOP+gQmHslGX3Hjm9d8MUK7xB18dFamUBKFqNV3j
f0kQ6w/wHJe2MRdnEqeA30gQ/Q/oCn6au/rPw8F/UGe7CWf/dg9RO8V/iYq1gZDMfy02pAFHAGKO
xtEsHCLUTEJju2pAl0Xl1KmIW/OAJJ+6x3qalneyCamGzg3oe0fTpiviPGKQ+0Z5LRDb3eVYoc4r
0dtbv3PKqtRY6Bt6wz4nheyvC+jQU9mbhACOMj2WsaV9r5uIeP3Mzk64xEIqFtsfaP8z+EGnSzFk
TTNJBWOzvtEUgo4uYszAOpKLR8Ca/ISbuKKAWy/2o86ThtH7rkbB6LtFhAE1K+nolj1pV2lJaUCp
WHoglNg+0Q5Aal5UzPc1QsB9Uzju7QLzDjxizeIyK6NLMGOu3mlLShoXAejSk7Xe7oQNj6DVIn7R
3BSBg5I/aLM13kVCeyJ5AHmRhS2+agl2wabT6MiQFhz1FKH7zK8VI3HZDYSbagauBrJqAfvm3uvA
xfdmoTbvE4zMTu+Ax9qUJnLGpvxLa2QWpWaFke2bcs4Obj/QUmBMxAbZi+YPmhi/1k4a4c9OpssA
h/vmLtPyQiaGfolJZDyQcAWVrmfzxbS4OCTSpzsCi8YbdbbaH6U+zgHRLPaukYXc26g9Aw2NJ4eT
qjjIaiKjLzfGd8XVvbQzF193mxvKYo8GpSThSD0SfRt1FfRmdFfmTXlUHOWIlT4PcDJjy5Fdu29b
aX7EJBqQOjGkpH0Z0x5ReHQU1Ic+aKu9wmUoGTsBdlol1NdsvCFKL3uOl9T9ZrcWJW20hhAqhD2l
kVP7hEgrvVtBL+9weJCQgpcl/UpnVX+bjWrxaNRGs8fkLRAM02F0oHTczrx8g8LWxU7v4thYd4tt
ExKFWce+0hmqQVsMrQMmrMstTlN9cDvuFQ6FnF2y1SjeRmKOzxGFzAfyI/Uba2gK+tAt4lMcO31p
6Z85V3FjXrCir4c5WYhLUaR+IxACHWiSje8RNfVPyMlcTo19cSyV8dhU0Rb1VJkOR+ZGfGP4tu5a
JtIjRTrNIcsK4jBKoo92k5GY90Uz3YhkMrgdkf0pzI9jEg+vyYhPm1A0tCuiiexXovd+mu1cHuOl
IRBuKc1j3UbGznY4tCx2JZ51I39jPG9ipi9DfLOd6qmW+vrc981CiEalXurE4iw5J3Qv0KxF+NNW
IXtOpGZqnCKs9pXkv+zBZpLFLw3K8IY/OtlXcjuArmnxxUnV0pecz0JV5uVNFvMlTroOWTgS2uVQ
4PFo6/1AbAyGPQ8N19NQV0f4CutU492vyPn28fOUDK5Fll90TSuuZlQcrGUaTla0Vkds81i8G3Ro
I4vlNybF9Ggj19oRIoTWokdXElVzdsXmYvxcCeXx9TxL/DUh95OslPyF4N35C8cmdCACaJsv1KYI
IsnR2xEM8qB0824qrPamxfqW+a67M4es3Eeo2e8w5BdEzl1kFMkXhZ5rqqp07ZKpsX6omA/QJE2q
RCYruzd9WHgnhhqQ52XvyTGaQ1loI6d7iO6XgVLuhs17LVIc9EtNkcIS3699ne8V0G4YtMW0/U7O
1mZPR4URUwwMktJDGNfjdlR35ZcYVeEGC7vkXMCEssz1aeER56fewHU2dwhZ/oe982iOG0uz6C9C
BR48Zpk+k8mkd9ogKEqCN+/B49fPAauqm6I0ZNSsa9PR3VUSMpEwn7n3XHJnhPaYGKlC9Rqy+4oz
H4mzI/GmqQI9mBY/IDvS95kOgIItolwYSVp+zQjxQDES+Vc2GJd9XdsD6lCGmldxo6UwgZkZs+1+
dhJ32DKv9C712skbRpGmfuo8xHZekE8ox7zMWQOt9O993honStPoARNjfMyn7otPRN2ON+K0BKHR
nWjJYi6lPjnWiYOZYtT8Y95a6rJJAnme6L2EpBFn0NLyal2KOtwIHwzTZETV2q6l+ZD2ubFzGr6l
CrxyEw2J8Z2A7fa8J/L42TLl/HIBk/kY5Vl81xiiyxbor/wNipNwCxoK1M8Y4kQQQXQpBM4jCFvI
H0M53Ogtp76I7Gk1jk21rgfDO0NsDVRvyMrownSTnguN9auvzY1GpbfTdgzNdlvAItun/lTdZS1c
YAp+Wt9gukw701pXHUnci7HRJ3A1WmEhdhk28/z+JLrQOPgiTL/0EixaT+nJRILXbcwtfkbMb7XD
VUPKXCqV/5Q6TrzKi15/zAIsuTyZon3Q4BkxHPtyahPtpcKkc6gaD5YP1NELERfZ3rY0AlGssL7K
xt67C3sv2AgmbTdRF4ND6lzAcyhmnY3JevikRvm1gC/zok8tj/9WNRMDrcEKt4PZi9VEYb4wau3M
LnQDulABhA1VbokUHP9B0QKWzdNYv5p3xbz7kyRkkEchskhaII7LwvSbKxTh2a6MuKWpm7FqYCtU
PeOOwJM/iMdK910WodUceu0YA1QESJlfdl2R7hq7fUJtj4O2nOE0Hjqrr2njPMGWfNaD9oebTU/E
3F4XtH5L4pZo0U2Z7xW8mzV5gLcooasDEk33lomLcU/rWbywRhoeVMAf7ApH41KPR1QNyJL5FqiT
ZS27Zot+AkDpOaUWIBQmTKlur2OjbCxwV3F0HBgGQ4jBUXApGzk6j7UT/GgZCHhs6Ht+OBx1Bipn
fOLLoNS3eBuqaZtDyDiPK6mVTxUPUGovv1uJIUg3kqlJfvC0VEG5SIwVRV56JsKxOLQqdp/s0ZZf
dDcIk8tgiLIzN7LZt8A8ioJtNqUZchCIiBCvyEm1k29eNNTanS2DwcaoTCgk1m3Yn3vJZmFVaDo9
FBPBTefUDxgw+4UaGESSTAoJKLQewC70OzpzUujypj3xbw4bn0HFss2iQ6ysIxs0LMu6VtqLFOLq
PdwzbUctcldMzH8ix3APvEGIndLiEGhyJpZhIcYTygV5Uvyah4mFXxPF/fMcNnRQvqMtaktDWF/g
RyqIe0ZEOhktwXCmOovjfRpsyKwgda8Mmh3gbAsNohdva5ACyzGwrnJk6qtEauF+ssJmD/s4OKjc
iA+Nzm5JZBk6XFEdsf5C8Qxd+aU1nWwJuWncxrKLoRvV/pqhNFKKOCvXfYD1iS1SyossqMCe8jPv
WoQ0OLyNfGvrgf7DagPK6CqtgGei6zHFN6Z/jvdQIz1365fWcmWKTlvCk2uWscxi4sNeW5N/m7hP
mjjGtvOS/f9e5Zy+f1XPxOO+7eL++kN/tXG+/YeJRgx0EI4aljNvlvaklrCuYZHjsJShJ6NV+3uP
Q6ummwBSHJZCrvfKb/nPHuefLOnJRvm5a0M7YOu2gIOBFsAhpoTW8af5hgnCbAyi7mhi/+2i8ylV
hBliGLBkMhbHzo2tkVI87gLCMFvNkwvwb/2t7Sne4FMT3GQ5tBzYBaZxrkTiXBi4WY4DmVD4uzON
2S+wTbbLptI2BDu1j4x28pPyQOivOgP8IY7r+GQMHoQ7W8GzRmLL/I+AzyVPHhNBfG6DVdflRu+8
HCizXlyS4dle+4WD8Dkew/Qe82/PgE15KAuUUzzCNQjuWz3SaDi80r/OIi+/VkZz7xBQv689MdCc
uOGlQzb1NTE16noIzWBj+nz8KWiGtdabzSGtKCIAj8MjdtjlWtE8yo8pUm+J6xmeXTeXu7gumZlZ
6L4vpQTtxYwlepB52o5YKyANmGFHPxK54sZlmnltD06y7vRZ563pxXBUYW8cPVnfUTs04UIIxDcL
qzONpW5WEzrbNp1VVV/TYVB0pVDTdjQC8VGijUBYV9n1F0BRfQSpfwzu8DDnJ1b50QZ+3cRTyEKe
EI1muEIY7C4TMiXnNYQWXxp+newYxV70aQLWIRnS1RTZKO4YPuz0vuyPQ1S0R6aU8SkSOWVCk/fj
zdjgh2Caly4bJzUuPDXUu9GQxTm78P5o1cW4w8hlPiekumO7FM2N4xkZirxUS/EMVQA/VWSwn6qs
9nwSUt9A+9BWgBeKK43Z8U0zWs0Ta8bsx2jU+q2BUHDlpENxQa+vkaLmbkJbbx45V9W4RFDhX8IS
zR9NhXxaIHAk/tMg17BIpy0sTm2tmWr4Jvua2qSpymNCsOySCfpcIHDhzGJ7338xzQTmj1SClzxK
rgJddUbVZjlFdFXUs4vLAZm1huM5LXIduIRXo1j2fAD1RuedFUwgthZStpMFJw0SLs0KM8N2GdXU
XYMgX3rdaX5yrCaSxbOw8nZ652Tfk4I3ql6hyIjTcLpAd15Vi8QOtBevNL2c+WxNNInsnYx9p0uP
XcQO+5oq4kWYEigIBTPBZZDZj7FAUAovdzgC5NXXEaHB5zHyfN4jleyuFIaCJ5nB1mSgXA1nlR2H
t76V2hceFAPlVeG269ziMtbr5tqA4LwGRd5gzu0mXGHE47gLuySOCB7BYK+cugEMVeP863HHoQwx
k4Tu2xdqb1NxEy4hBXaOYJCYLxwV5Pc8RqrLsaCTLXA1kN2WU86wYD0nMLTot21XVYgpYqQXsPwv
yDwLL1RkGfN20vyS0VvgDqKBeqiDCJwJhLXxxnFSE4lCkWnrCd7kznaC/NBO4MIWOQuOAFwrGpUN
LEz9Iglo+JaEwqb5SUux8bgCZS3zmTKolpaUAU+SuJpWSJK+ZSCJPFZr+XBuTpBB+WnsOF0lY6fd
h13NmxpNho8jRwsHYKMCveWUFNLYDFRsaM69argyMl08YJwtcFdUhqrkJkPPqQ/nqDm8gV7KDPN2
MDYKyH2OILEfHS/EW9LW+k0ARn907kI3r5rrxoxa1ukE3cTFYaoogydsSEk+4PLq2AfcqGQIvRcr
TAm0X0aMzXr7Lu+SXrprr0JOtNHatkm+jW5ViXSLAkApXly83P6tAz6pA2zb/7AMWD5nLPlV8TPI
4M8/9VcdIBCuC3N++zqG8Tq0/Y+gQxjWH+jWqQMsWEYI+Bgc/10IIOgQLuFKZFUhy31FXf2t3jP+
sE3+QtfT/1S8/yOeleAYbzcCug2HyRBA7dg9gICaBfxv6wIaXh4ebTucWO77667HmL4oTXKFl6nb
d1eQdcZDMtAnrXU9bRiZWN1datW0Z7VfyIc3RdRvliHiZ2wbFcocQ8YUG2CczqzNmT/tGzAUnJEq
9bkdGG0V4hSmjIYXrVtCzR46pjWLrrfaJxcNbrxQudfIJcmBaNNJIXYtqFFu8c1vGv2CvyOCHptl
4m6yNU9sR8cOvgtCkIfNx5/YmOumNxuV10/M2570O4At2E3f7W+sGP43KZ3NiZjvEH8uYeV3nUW1
vmFMQ/fSjYNIVjFtKAtkB/4oPlRzm3dqFHDXy+YbfVQtMEFV9oq8B9R3TR5BDHKVnZL/WybRZdoS
31D79B/UlP59Hckzgs3tYR3XmnMeY3rPtx9/q19/Bhe5KfoZZCu8yF+/9JufwR01KMFVVp8K3En3
ZYhMieEus5JFharnkhG7f1MFInv8+LDvtlM0SC5zB9BgBtci/zF/rDeH5eEZWlUdFqfCm8SJ2Ob2
REoWQdhBdP/xkd5t+16PxKIEQiA0Ryrtd9dZhSB+kmjaT16lQxXoS2bnQeONxiKtorUOb2FamvqI
OCAx7T7/7KKZL4q3Fw3fEgmVbVjsHB2eDu8O77pmDJsQrMLcwT3nSWs/p9n8GcgSr9dQdsvFSF0Z
bftMvk7TS/c7mG5i4NkXssM2lY4wISFCI3Eh7ZuqMgBBeeP4vdK6aqVrZHss8VlYamebztT+2Ra+
DP8Tfi9/d5v++kMhOuaxQbYdqyh2Tj//ULrT2oVNCXMu2iB/jlVTU9RqacMQiv1FER76KE6/hp5P
oNEkSdgtLYD0zMzcHw0mxHI5RqG7tMqk+x4r0/0GdyNyDx//xJb9y4/MHoyLiFqWZyt356xbfnM5
OYqBsooa8xwzRhX43qrxowkb4Syvh4/SLkGy6ldgHDDdw/RnZCqKbc2rfJvNKv00k/l1ldn5wOq/
Dx/6JC/3mBNoXWxZ3RFGA+qB2FgAbrMFACQ5doAgqYtTX+ERAKRBUAZQLPb7ryYCSq6cCqbJro0k
vGTuYg6LrHXlqcGA0LxaEfD5cyLj0eDZYLXTtNB7Lzlms4MBa4p1iGZXw/RqcOj1CFQsF13M+mS2
QPSzG0LMvogpGV6qWjY3ra5hmoDA4EJHki37F8O4RcPap9vApeZfMLUMviIqwYARF1L70s6ujKqq
4fCSWrQX0s++xV3lcN/PTo741dTRzf4OZKc4FTgPW2EZ/oXsczqnXsmNeDWHZGwPScXpQ08uu9k/
ktcmTpLKv2A7gLmEbOFmx6vG6JckiyMmaNzsccj16MxQfnVDXYpLxU80A/1GPj17TqnWbG0Qi6HY
CTca5NpnGs7+R/1qfSEVEBtM8WqJGWZ3jDn7ZMZXy4ya3TNQ9PJdgUuGJNbZXIOtBqNN8mq6cYMe
BNarFceaXTnmq0FHIQDBNYtpp6fPZ8czW3kSrqRmA5QEyflguhTiULqzgKRR2eT5gsgTEmW+RUFk
GNNT3WvDTOj2Ucqk5Ysx5kmD6LZt2rbST03aIJiAAC+nLRmFTUDYWwyP6pWkoruauU9G6Ca4aVhN
ws7RZwVSRIAQbVTA+xAQYC/XTtqH+lJljQgu0Lc4xHelo9ujJh8yvzlSxJtcUX3AxLtHA2RrG0eL
kuCC+bHphEvJdocLzkwhNxRZrPwFZFtwBusBmQ2wLp/N9WIM8A+R6BiwEY38tg9YcbgZZJqAqmDD
7DKflt5k88QsDNZ+yzxS2L47NNf1ZR1rOf7YMPZ+aC0zBlR2pdGQcOe13snGbIIn03Qbl560GGo5
jbsaV5UiESaM3NlA300Sz1JdxJsxc/Jxp9c14ilUqBnyIoZrEJRiGWsIQi3jQatyTKhkLqRodNJc
1y7IINGQwzVF8ZAgwsv3pvIb9GNR41yjiDNJsIJXL86iPqoRaboRzrUtisqquOFlbB7ABxvppq34
BOuyQQmJ/3WYWKskY9Wf5x4hdWuNW0URfyjag0KEm60Qs4ftLIji54zdmvqkmBJz+g660WePxQfI
V+aYR3IvMOvs4OLieCAhUJqruIyD1dQGKT1cryr/Mgn6xFqaJCTTlBL8qp0Bj7Q2ogqI6ULE5VY4
uqOp3Eex6MN16lsRbh7+vcW8bwZKKUOSY4c+JlmhGWLtiwKKPRLrzn1knBB5xeyLvM7SzNsxw6F+
ciqfrXRBJ3xutwWvpBBAMH/AJ6nC3AQxvdwTUKEiOkgUcMOm7u0pPhNN2NxaMIef7SEgdcBDimli
dx5YWdfOhA2QFICE0E1TpvUS/vI6FrF8yvqeyiIJk+6mtp3+a6Uic9e5Pe5gL7UBfcDc4u+xszIZ
NoXqxImAF9O6qhtb3IqGGI9Fz3jdY6c9urTfRp7gFiYnhw0+On7jItZc/77Q5XxxJomst25W40wf
mD9A8JCzrzHqCz5YSUcmzniD+fcsLbm6c56SauUJf8CxVvuBcZkoouuuDQ/V0n6wkr49bwBJUHyy
t720Uw1zdMkSqd+X5TSBfDTyZiJ9zZ2//PzRe55PfC7o7SfLLvgWrWT1uIjSMp2Wftpx61QZC4Kr
Qrnc8qqlKgj5ZzxTjaaILui3R4DiZhXp/NzABNvzHMEgsyq4Y0wgdCZ/67GThFXyv2Hx8Y14gJBE
MtfJTZHf45rwD8QRQ7HxyGzguhhD57kvGDEwUIOuaTaDXp+FlLkJdlZCcm883hbbutDFSfqhfLKQ
MeHPsKLYOJRe6LdnARzBbjUqV5IgRArytjI4rXM+1viSZql9ObQ12QkMrrr0ocf2We/IJMp/jJM/
P0MYW2OccPDEsvoYZxKMk/sPmh6A8uqrEHkdJJb1qProOiZa9AyVWWKvbIgyhLpntoUTPDL8e5Vo
XbjOjILbZNIC099bRSnk95wH8oj0nEtqTZwc10hik2KyIdekW/OS6eWZUK2BUcPPmo43rdnplN4y
+aJ8sjq1kTL9MPkNiByyI8d6kQvhdkTTIQcGdSXmxMGe6N19xc/C8g8qOoixrmvOh9HNboDFSIY6
9c7KIYfvpn5OEiX0qZ6QkODfOC+cwToyEkMcGMki787Csa+ipWfXeXRLJVJ/0+epBeu0uO4WaVT3
OHz7zpO8BUZ5g9pGxI+iZH/WgfrS0vEOWaXm85exa2dbDIz+oAVV/xVHJ/6TzEVCvcdcJa7Y3gTT
VrWyjtfxNBt1Y6NJzMuBTY99yp1qTsNCFu2cWyIi5nOkuqnXiGH51XqvQKujmJzw7KjrbI2TZ1Cr
LoOzuJ08SFeL1BpCdzUGJH2AcCB76qG3R3GbRDgYuR1i/55rPa8vCx8j46Y1Kh9kUR454NjaJ4Md
nCdApHbunW0UOI57AoQt8gwzr7uWQHeI/Qm5otfgzPg1aRxw3sZmk4KUVVVkXhL9ljn7YJhDXeJh
0MLzVGlVv8prMnTY8edtcw4ki8+v/DTc1JGHA6sfdH0/Sov7HrCWG+MHjtzz16r030nKJ5OUmdT4
pn7/RRZHpVqq52/l24XKn3/m7zmKzkjEQtrBQo6WCWfMf+coMzbAdiyo1CDm2YrSCPw9RxHMUQy2
LHR5fxsk/56jOH/QFxg+kw/bNl3YA/9kwWK9b+k814PY7dNLcjjcmnMz8qbZ0Nm76oHG+xmbr0xw
GPi+N7aPqvOtQh0SPZ+pNinenSjZupA0Yvto8gQkTDlHJ+A2zF5Hq8KERqpMap4XGj0ybkYm/KGe
EAwDc67etmnSDME29WI7jo922HfMsif+36DdBdx2vnWn24idJtzvLdPH6Ci6nFwQYjM9V8M/o/GM
6tgi5gfCvXk5pGafIRaH4trpT0ahAhA+TqOq8SbBOkjSn2eFvXvFsreN/Is4Rr9PMA5wN/TZWr6k
QiB9NoPJo42ApOHrLkNmyF717x7yT+7pJ3eNgTSKRd7/vYc8x+FTsp5/e9v89Yf+um+Qk+o+SlEX
tcYrGuMvNxn7SXaMBoD5t/tHHYGpEI5uuK++4Png/71doGwwMeFfgNgNov+f3C7cYO9GIL7rGtyR
TEQ90zVt/d39ogRIJIrT6DDx9JZQfEIH4QdgB2NcVI7VPelh7p6I3Smv42osTlPPyl56uS6WAI2S
NRxJHYdvOiHCMIb0IvIaVmWOhpmYrKrt4FO9N3gpFjlluFzZHptHMvOojxdB2rubMbKjsy7ry6Me
AqVclEZ2rCKVXrpsZbY5aHN65MDdWmlmNcsw14JV3aYOCWaR2qd0T+ctIJrVRKaytgTu0JBJgxv1
zB3K/ksKIxDAOmKK5TzcJ2XRaHZdQZRiKS2LhQpBXPtW/5qmU/nsppnHOtYksFANHm4RKgqi5Z0B
eMNATE8wsDcQjk/qN2wBfS+QI+zY3movjK3kD7eK/QszKbx9GeTqezjAfMZXVYlL0K3tlh5HXVu1
1R+SlAKR8SPxM0sTdVOio7RKbCqmKqtMAv4oBk8hdMyzupo0cN2hahYCq9yJiqnYj7F87PxBXmOt
cLZp5HV3UdU0NzA8kHdl2qS+WoEbPiotTX1kweQagzkk2h53IGloXoFMjGKYeOdY7SPbT92lYQj1
LMehb5eG1T84BknFRPdlX9mSNjt/ipuNsOL4ZdLb7Mgs50KbQvtAyguZ1ME0nVVB1oFEceuNO3i1
sYL8hnhWH1tD8XuG6SMtEA9IzlLL35Zr9caozexsFG6wVGXu8EXJ1MWYFbQgXXDhJGS2bQcZZLfg
F6KHtImjdNkXFbSxcYCFlGMaFKR52wivIkj/1N5ce3vJsOa8tXz8EG2JqmYxCrITo4kpdRbOFVAP
TXKVQQUMFzaGiR84eFlFVvifY9AVczWYRCzmHFZ5lhzdIzDTaWVPIzBI5eXnVaMlR0MzxbiEJwbW
qLRGwlvtsgrvgXoZ4Mzhpn6VQ09KYVrZZPVlin+r0vPdVE0UYh2cqlXpMVOfctu/QhAIQc7T1lVE
AEE0AsVU9okVXPdSQHDa64r2oU/Is1p1dTturSIaziYUd/Um8Zvizi+T4FHLnVA7BNKQydovXMEC
Vq+ZpOks7bupL4N1N6biqWF+UaDOke2VaAv5BeIxxvCqF8+pMhWe6LEZr2sSFLydZabUt8rzyx3N
AJVubg5AfqGzAewMhHlPdR6dSSZfX1tUiMVCWFy0S1dN2a4KCw8vvu6iKccOvWd77d8ClCqRoRGI
TUIcivKMeKC63HhRkT/bYeTfqdj6qun9zCtQJtNMZ/xuV4jVuCZEWcwRs8UjsH8G9PB6GlCFWaGe
GteiDxvdpCIuqST5XGPXuWhYCx0jg/DQqlFXomZxjCab+1np4AdH6KJrL6umZc7QfTF1GNLIlIxn
Vxrox76RB5i5hBbrWNAnM0o8zgMCbvSaPNGUObpLza/0LXl5MctbzQa9pafDSvObwFpbruL1nUY+
/h0epp2hszf3GTBTa6A5RtRrylNqzbFyfmk210xGrZmenCcPJB1ICgDRmD0Ps6DdB+FQeLNutPrS
uWOldpbm1fRvPl4iWx/rC6tW2ktpuzk6e5F0l6McNR4uU+QjAUuIT/Ytq9toXiS/OP3Yf6fD659G
qxDnZh1DCG762oM4aRP9QcaBKS+i0Q8IbzUqpjZRD3Pa0HBvCb26CdO6Wnmp358pR2F6y1JCrAr3
YIEJQoFeYFMFPbjqQqgMCaMwlJ2WxN6X34aF3W4RAAbAOi2E2sS6EsVHg1QsMdI7a6kP07fJ7IZ8
3QlHrkqzzcnkhquAB9lLLgbkIl17ZgHjgyZrAeyMHyZw3MUOniy5vY/emKKNWETKFE3z2LZA+i6C
IQDnOqtLRMKYjDGJunbyTL8mzSZE0kJkmTsrU7qwv7etoriW1IPXeN4CY0EwSHDfz6oWBNAIXAq3
6BG3o3pB84UApp61MF5cFZd6O+SXyHzkpp41M02cWiefXgr7Moqa5FVcI3jbIRkfMYDO2hv5KsMh
1i0/EcfJx3VSbQMvCMFOPWt3gDQj4xGzokfO2p5paIxz2yZLlS4P7Y81q4CSWQ8UvkqD0PtF302K
vgvitls4NposjyPaFJR8VXWD79Pdh3zxl4rx5r4flc3YHU3JQJH6JbWSgX068/FdKEByJxZrl0E0
7Vo2QbtOG5vnURuL6cxoJpfBVgTtqE8uJXXmwpakAgdlVls8ZNPgup/gcTgJmqShJEKymCwkhV5b
XoaTG2/n83mrykEcffhROx4X7jaRSrugtezMNXMi+woee/QNH0C8iwcNCJTCNchx9GY8jAw0rpA/
91t/9P19J9r6XgUlulFBZCf3EwU6jgsADJVLJjx0x46Z+jjqqyYpGAe0pi8ZH5M9iIsBDT8LSrGO
7Fgn3TqzLlqyHs4hUgz7mhdjvGAafip870UvY/9F1CTzASuy5WOMKPKL3gfpvi61aluYETbHuONR
w+UX8ZK2ICyxrtLdTdwl6WXgU4JU+HxXaSOcJ6OMvQuD6ON1w4gYJ7qfGTNem8HdWiECK2+K0X+M
MWjwxI5wvp8hT23FElatES27vPefYir7G5tMCnnpYKOpdxiNJFZE9Bn2EoCE1I+GA1J6W/mCaRui
ZBDCGEp9zjzMl/FGyXA1YAcYkQM7+EZ8Z8ayFrNPIpxR60aZnDVkkeW7ttGiR7sy7fjZcLjFmWLN
ulhFjA8i2fRPySxLBvbB2/JPOS2XrIG4FpLaLLWVqG4pe4eHNNWKl6QbjHu/ad1bMct0JXpdOQt3
81nCCwsGSUrb5UsXfa+DzpcH4A8L3W+C/ncOp/lqlrMm2JrlwTU6YRfPyQ43ZnYpBfQRK9eO/DgG
cDQExkXayB/mZHcwXiuJArmXpjerxuNsB6S7uWKVmI7LtrUiRN6KeO9bz2nVOp+M6SrCI4w29k/J
878zh6KJm/GT7mm2qX3YPW2YOcTfnt82T3/9mb+bJ/0P/gp0k+gzrHmw8N+hg+f+wWLcQSDCHlT/
ScUJdVCfkyt8kw9AK2WiGfiri0LxYRtsTWESIhowcBX/ky7q3YKTrD9GDby+mF/wXxl0/DxzCBlY
TV5VtjvDaJEAY+ZgRWORTX+0ePRg5rZVATS7hVvlR9iz33Sav9kCv1sCM35HoUF8l6HTQiJuedfB
SQmHuONNse1bo1u7Y+6sRWxkK9xS+e7/cSjoizzCLOiwzrtDKTPphMjtZgsCKN5mhugXZo1zg826
/H98K06lb87BIuBUmFq9neNMYkhJVrZQ5w9DzJJvkivVNCghB7fdf/yt5i35GxXA6wmk89Ut3eSi
oBH++VA8wUgAsTmBfhwgbRkNJv+t82MgAiQsAtCQJUSoOWBniUihXH588He6lb8ODpVgvopZ4737
nuQYBIFJ/0b6ouXgLRyidUHxdPz4KL9eIzasTKYJ+NORNbvvjlKTilR3Mmi3CrOr4tosaiZdg3Rn
QHIOWe/jw70bKvCl7FkrpRvgzrhM3oucATwaZkQlsQ1Hh5djqr67pvHDC6HTiyw/c4haWHx8xF9P
I8RNg6GjBZ1U4B78+TcMIuweJCy0s48Jth5rBH4sv1x/fJT5NP18pXAU9uhEghJ8Y5vzaX4zXMQI
IAg5TtutSRLGwtS0I47ti1EY0GT03P7kO/3uLL492rsfDYVWKEM7a4mig+QcwFEPuxzVQ5IiDaPd
X6g0/frxFzRmxcv7b8gI1bHRvvtckO8eZWOUOl7fc9uJyLEuMGNm96HewiMrJ3wRvOhhMl67EB+X
VE71N6fRvUNlm7uWVnnbtX63RmuJy6R3q5dhMLX96Fg+ERSNvJkUmcluFC5FKqdPHkziN78/6aIk
GEJYYsT2/orz6tDBscNtFPeE8iJgJYAK3pFN/oFmgmerBdRMr+xXJmdvjUja+qJP7gBlwqtOgGJN
xKOhf8H+K/zkXrB/+9F4Ps93uP2riCvxM9QJdtZQekfAtyN7hVRsYOfvNOtahvXdEJvJUu+ZLK1K
7D2HoUjUkTU/FOZ8ALPWUSwi9ZuzUQp9YbJzXgWFB53CCMezsDXUyXAmbT+BrFjhZ8Jj7Nqw3ICg
3LcsnO+J4KDDY3e9VBTeG5jtMTBU5a3hjx6aFKV7r2XtsglsH7eyfRZZ6R2LH+gQ1sigypzSjQLx
B1+luSh9d9rJGAQs9HqYS0EWHPVo1B80JZmvFVi9A3v8kY7mdeOhP/exme4aJ2ou+JuLzcdX6683
iGfbFAbc9byDGWT+fDsONSAVu59/9DpCa9xGSNSYy8XDbTsF1bptc/GPb0mOyDYTt5Htzs+bn4/o
q6Hz/ClttioI9oIEWzisL35hHZWJNoOt4+PH3/DX5zaoY542bE38WTrx7rFWkwxT8Ns0ZGVk1cLo
rH4fklW/9gw1rj4+1K+XqQdjwDHwavpw+535n795toWtjZQZIeTWJ1v6rNSk2Jd9635yAn97FAsb
AsBLk1ywdycwZzeTNz0nUHOUrhaSQn7H+Nm7/PjLvJfT8gbi20Ay8KgWBbi2d8dJ0VkIJBTIgwZR
rpDdJBtnyNGF1kXJPrF2KSm48CGBoKHyHlhjb0srjT97LM3Stp8fp/Ae2JPZYK+Rvb9uq96cVClL
a4o7t95a2NjhPvnZBiFJswF9H3uwiiZrjxHOZzZVfs/K3r1Om6TfYrrozvNpMg8IloJPfgHjt58J
aSOQUEJ47fcVR0iOBGH2Zr0lJr5gxGivfb1FNICH/hRgykba3lZPGUqKZUbC90U7Z247MRHlvleU
6Gmy75kYulPqDUyq+i84U40l4RrVzVi0dM9NbO8Y6vWHYsxOGN0/Ky5+/wX8OSqXkp77f36HvTmp
gVB+PpIPubWi8TpUbrVpeyu8i3iKLSvpJqugFvoyd52GN5bKD+hynr3Yva2V4+/bKgiWAxDtNfIN
/6qc3PLWI012AmB9MImS2CB3GEGmJRrviibboGuqPnkliHdLyterk4blP9/g3dXZNxkfuBzhpWpJ
eAgmvzg09lBgL2FkESse8kxAUbnpe0KjumVdgRL4+AYxf3sVAJ5hYesZwn1/u3sjzxIElzU7EXj9
INU8+ytl1aWLrWhB2Oe3MuuGB3ZH0QvS36btwmVSGjBHTbKCupARvk64pHIsd9EjeSLOyGirZcQB
t7Bak6WVhOI7MR+CR6V7wzB7besJgj/Nf6i8hBlQZ5OrZ4tsR6zLM9S4G2fkQKH1Sl33a/uTc/5r
6eY5dIMAd9m/6XRLP180tkFsXADWbiuT7KEItm6XZCttgo4AiMv8pE78zWOb3Z1N58m+j1rxXUdR
Z6kDiknUW6bhP3x007y1YZRYSNY+OdL8N717wHCkWfVuWRCT3hf2JCu3lRvYXEkqvE2FGT4k2Rz6
lY90E/aYoh7RHc07BI74LD76N29fh00khgX8CjP28ucz2oQAaIJEZxvujk+Iti8HV17rVvAjc5uv
tLzOJy+o19rzl+9qoxQQBg03zOSfD+h3Wj3EMZcsbXhx3ZrUPWNAlEkByNjspu+IlW7LOCOhaKwo
bixwa10dKmgr0yd3z28vJpQOvFnYz/8C34zbprOjjvu399g76BWbBAu16YJ0tnBpR8mPj2/W37w0
HeSW/Mzgg3Sa/J+/uOMnpPK2Az/yqOD1VSJYTq0XfdIj/vb8CiYZXEmcXrI+fz5MUouQuX1Vb+mR
1dLrBrZOReIDXoQL0yMcXoaI41baKBm5BSERC8AMkKhqrKScz56RvzblOALoCmnKsdjY7+/XnhA9
nN4pH6YDioZMHXWQms7HjkVTmAttWdV5sY3cxliUaat/clu9T0b/X/bObDly5MzSLzRocwDuWG5j
X0gGGVyTNzAymcQOOPbl6edDltSjKslaprnuC5VJqkxGMAJwuJ//nO8sKzTrosOHzb6d1NBfrjWa
kjHpFaLeT6aMPrULBBigYthemthUmLydksq/suMHMK+F/rjqnSpTGywiDCMoqFjmlcY03PaRzbzG
aluEXBWq5ut/vjL+xUIDb9LBPCCIbEAl//NXhgAdT6pwqr0zBvWuk7jpZFP5W/by8b/5SP7FS+FH
ky71ichwfDp/fqk4MRtdYS/ct3OQf0smYQ9zETF8Mhzx//FrsQdVUjiLpPZPq5oGeNlqjxESSKj6
AdKXsysnNzgndYuK+N82jfs/Vo9/xL79i0WMV0IWYYtIgOKv50ZrhrNQdrxSDLmcoqJCP9KIQbG2
aHD9U94EjSKa/s3y8S8/Ss7XEoqYKTFF/fmjDBnuE4FQNIARxVjn1ITDy8qZmwur+TcvhSuLH/aX
VZOdhsARhSfKZsX684t5qSy7kPDvHsM9syoH9AlRnkgOTLbpuM7WTBIIf7Inz9YVZbDGjpNjN25n
PMM5RCTFzRXbaIxH0pLZiwVrKtrUZJu7Dd5EB608qKIP9HLjNqXnvQGcmi2N1sXCXin4lew12U/8
8n6vqONlDGNP59/V2DFu1XlLOCZKVmEamU9OZ+EbzyQ96bvEzEdnC7Eqst78wYzzX0yXJCZ6zQkm
Oo8M/IJNTTI3em6y0pyOWYG6tsd+ncutIbR5ymcMh3vMIn1zp3Jwhbey7abgwWmwTe/438aAt7Vu
UoCy0k8JM+P9DW89FyfDplM2lWudohqNMLEDY6IwyoNZpwThprDG2OBH8UveODa1hh0JmiNwjRAc
bFfS8zqlxJ23OX6Z+ibpOU6CKmbUTpNJM/gYUno1jTTt4eg/44YIBLpDrq2NztWyuYoBS3+4GEfx
cpGOp1YKIOIjMWKmZnhvk+l+CNz+sYhlTUzaqHz3Ksocc0pHDUh3ZBM7MmnEeQM+MyQzImlhnNdN
k/j7AmpyucUIgPwnDIuob9Uo7zmJqiWFnZdLZWDUg0rXWsH+xCpQx7uOWNBroCnmzQxPXNvCIV9D
R83BWAp87cq/dIwP6b3ajaBsrwFdv72MMMHjat9bMmX+tVQCh11/sntKgi2YQwkVgyvVUSDcJVQJ
Y2r/krYxbPulZriRFA47S/WwL2Nnj6GDxr2lmDhZKoobiB2fbosblVgI4FSajOeKSuN+KTemf4Oa
2uyFsOfWWeqPlZ/XW3OpRMZjN69B2JhnbylMJpoCB8olMcQ0/GVcapWVYT7ES9EyTvLgiEcpXY9J
2rGpwAyQ8ZTYNEtJc5qNx6qlyDGeJ8U/0kuKuoTpoz4BDrA2s0ir7cgYbZVEQU9+E4jWYEcb8PPe
feDJK3bxcWsOXrQDIgo4Ccz8Br8VxdJsXa/BUjYNA1bcFBEF1EAAaPgVbf3tLPXURkuwzFsqqykE
UMd6qbF2aYc82iK2js1EyTUixckiYRkrbVI/M73lGNPfijg4uEo+xt30Rjig2A6C0uW6C97y39Vb
IcWMx75zYcUszVxkVJ6wSQanZmntoifVA/SL5SVbOr3k0u4VLT1fVLH191VI91fDOHw1UAfWLr1g
2dIQNlEV1iydYZ7dMtZl7H0ocq//lg3dYtMfPWPpH61j3d9KyNhpLp1kTF7bp/R3VZnFxfOaW4Lm
Sfd3rRnTaHODGWT4QRdDelct/WfJ0oTmpeZRdOFEEoSWNGfpS+O/lNuRG2IbKEtNzY03DeHQ/Jii
2m2Yj1qBHGAxEDb7YZj2TiQhORwD57zeu4ZV/hzdOdUHO82sbpN7tduvJtwh3o1hOKBjU9erKYGe
eoX/Bh8IPaRlRfCh5pOCi1Zkm9nL+6cIVf/eyhJ6dPIijY9DQp2RInF0Zw6WRyFkP8wrIGfjKYob
8emIgP0k+q7eurPIzniD6p9t44UOnFxm68mgYps+jcZ5lH0afPuI+5QEFw7j7d8Y9nnyxmfmTPl3
rRm8r6a8Md+JgNQbjmjqQqWg/kEmZdgQwZj2LTuWJw8I2Y++4edMBhXfZWtVJyq6s3U8FvJIfrJ5
RYVbijFgMSyhPa6EiKn6W0Sy7GelZQqnwqje3MqKDwn21ewI0zHd0RDdvOJEJRfnwqHcOIHK2003
N9wcmWUoTPgAqUPHUZRjWvaRKAZgMiTkLadSv96lnJvyQ67JZK7aOOxfqmBYwj+Kio2VHy6o1lJI
8NAYBW2QfFG2XIPGcAJZGD1iBs5WpUuwYEc/rDZeiIzwK7pLtvkcWjNv1Un7Fyb43XAbBkF4iT04
gqWADV4CQ7+BQcJPtTXACRE7j31rqXnFTqQ6OXAhLjjx9TvSHd2LFGBe8OlVzrYo83k3d2O6G8pR
5nsy1uEly3TvrrUCBMhNVHFT8e0iwuM2wnZ8cSGJf9Z9WD/IuTafmpjPO05SeH7EJvZexIdKOeN0
Nrg0H7Sq9adaTpjrwpl1v0mrJIa5rOIDgDd+rEE02KxlddJQ72/mvtGfLQaitz7ic51dt/pZmiEd
K3MX8bESdwhOIWrEvvNbGtCHRl0krpABUqEfXkYsznQqOlRQfZGekqC8tTXYcmm1N4PpBv+opTeD
n4Rrg16Ail6LiBI0r+sCsNSlMJ+0OalLrMrgWTtReOeornx3QhDyYC/naGWRyjRXvccmUnWgqMPW
q05TLYJNSFTtvLCdDvTUjc+ekbAuhkF8sBfqvRZGeOnoEAGU4Sl24AXsnQuAuOxYp0v2qfURcein
B7Me5S1/ALT1AtAbMtpCZw1GeeY+R8YqmldIfdO35/bNlxtK+DfBlB3Nul2u8g73JjMXSz3GedS/
yBITw3ooeZOZEunVa2v9YSeR82j49HQTzB6iy+TkBTVlOM7fsmoe7z2n6V6EHtNrvHzdFmi7GxyM
wbWSPS+UGtMOny6JCDYZEcYuPjUviaZ7ERrTt6DWHqAgWSW6b7zgSriKJnoRgUinKJg4zpxe2bKP
z75gIjMPhMhOMy71iOrnaMKXisy3Djo8qyv0lqZeYc8YijWdyiTtZIIfk9S7E1xlxJFrpbummo5U
2Dq0j3dcSbNR1Sy9juRKY82KLmBvSnOdm3N5b9gJIm4/ZXzXovGi/ujYuBvXkE6/SyqCiN2LPFlX
+VB9w6I1X2RI+KMfGvMXnQokf7n1qgdWi/m7tBJdrx2rmFLqB1T3i/DJrPjOaBEytOZjcXiSN3sx
pGa9guIAt9XKjKvfClYz1+l/jdqrHtqgQPivLH3X9pP+MUIdfDApE74EThXvWx/qIuxoQp1NtIRX
PO5vrFPta0WDjgDd4jWs8WW6YDfJ532zo3ZvORMHO90FNYsYwDN009buGAjb3vvceO1dkC9Ilyzr
D9LJ+Wp4bN7YtUwpE3PD+N6Rjd6RdG+ea92TJwNp3YYl/1ejtd4EvbY/lR+qndSk47Qk9WfZI2jG
3nb2Jp/XiommxEJUcx/+7pc3c4rr2YQMq6WA78XKQgkhpXwkEXAL7w9UvxAxZ5m63gyEd+8q9B/R
Rf0pyXXNy6YOhemk30h2sm7YM+N1ERu3Iy0cl2JSwaMTWOXRHyknZdGFwmMWDBsriqyOKm5P/TRl
m5h781aEQ30Df7YA519MK7b6bAF9xn9IqB++IliZusV4TeGTfmGYPFWxMFnS4EDMdlNtC8eEv9/K
8zgm8pX9tiBtP5af/rDMmUp6+1CWj1VQukzLIjakfVJOr944hFeBrQuzsT44ZVZt/AH63Cqm88Ib
5g/0v/xHmlN3xDOHD8kyZMhCzwln7U6TjNZJmjbH1MCE3QcGkIpcgqcn5XeOzE5v2KEO93SYCPrP
k+axqwyHpc4Pr13Di3QqcO87wmA402zArXTGfeBudl6I+GaHOHZfRjIme+TSiH0gW7lVvlQLlfEQ
3cYewk1pWseAIqvPSATDrvcMsQdiOW+8mFbeoedmbHREaV2KVBhOk3NmcyFfE6n2hRrLHbcTC3BJ
n/sqdOgw8umV++7TznodtTTv/NyfcS3k8klDzlyP7GF3irXrnAdN9mIq132Yer4l1UMO2bnsC1d1
W8O3AJD7a2bUZK112MZ3FWCkR/CSYUz1VgFyWWsc3TJPmvUIVJ5IMnnqmWapznXY0Msw+aB0kVqH
oTi0ILtoSJYG9VaQi2dhvbbEj3fcijtiYpRKMGNjQ+Z2d7lUC0arZJuBVTVlCaSzxmvjqydq6mNz
2zs3E9VWgYjw69Fgn9q1uuRaleU6GnyToUU2H6ep7G8dZfDYycEqcsM5BYjHMSF2bEfUzCRkw1d1
DQAKf3zCbcQMrb/1gzZ5yy3p7HHUFTxyRpiK1ayRNLrYGO8XT+zNhJi9lHz0MazaGs6xP8TiquhX
rhN3PAR9u+69Jr0lvVOem4IEeyPLjOHoAD1zaFqCPwkGfPBf5mj4bz4zU845H3UJriiHRLquqJZc
6BERrM6+Nd+IxNbH0nI/zdn5FdRl9c6ONXvHkleyaIF6dDPS43ZP73vrdvnD5LBjyabaZOjtt/M6
HInzsx0aD6Rw+/hk2OUg8Z3jZz64KcQzFg2nvBhDuOShJ7e8IN9QdWB5CV2iXZaxCJWmSt7zPCke
LJIeD7j50wzyGwtoEtHZnDWWgCKaRF9VIGaIcwY/sMIFcFJ1Uj5C0veGt5odD99bzCGHOGHGU8Jw
7GOmPZ4o/qh/8LREO5szINiI/vyrMoitJ/bHnEzTPJKnMB2brzyFzNJ0DSJCM3X5dyoLVIWFg/cu
msT8TH/nGLHhj/dNNQbvmEQ5hMsgNvy1noPmy1DayCmE6X1Kx1JVPGbVyMLQRONQ7tyw7cudpB87
2hDS4vKIrG7pKimy8jFyOtLfflgG78pU/B1fj1m9cRM/VRtZCC6jwp7aFGc+7xK/L3apTYFLy11J
a+RFk1gWzTmeVcu5URS9idVfD3G4Y/PKT54NyK9HSS+3t4mkPxl7Y1q2AC0TUmA7Y+7fJJGQBZEA
QN/rLKDbFoIFj7p1NnbBe1/3tKWHXQyQgBB6/m11Ha/aVTZEmwEA4fsfH6bqsQZj87ZNqkUagTPN
NWeYs5wnyr3tK6IxFQyNNVoQHz2MhQKHKS7UfRYnyD04C2IOmOlI/6uJCnSxKjWaO/rKKdmu2/JR
DTgq+AqZt66HoOL3S12FHlJrkSbnBhdDv88njB+3dLD0372DNrrqLEgjt45hRk/p1Fvw0iED0Izq
PqQ4Wmkc0p54IuTaTIcRGT64yI5f+mD1gvfIrpx3HRcBX54zjYXB/K9U2ZrvhHsX7T+aNugyfIq9
0fLn58JqvmJOL/GKN7sA4/vmVwx0Itv7XU0YvfMXh75ICZGsM8H9sxr4OuGnof+dBug+gNLLlh2d
iqROjgIPfEmfDo3nLC6xwvlLSajJ3zV4fq3zTiwtvHRm5WtrhkN0iXpbQEhiC5lB8G6pMbGiZzOh
fbjKSnFiJl0fhryjNCn0Rmo30vhlnqPhebDo4vitd/5v7vXfeVCla6KM/rc0/E/B1+PXR/Sn1CtS
9/I3/h57NTGT4vHE5QmRyeGa+3+xV9P9L8u2TYUxDCEesffvoVcif0LQpAXXmS2asxgL/+Y/lSah
V4RftkRKLcCq/6j6E+jYn0XehWKKr9zB0MoNakJG+LPIm5pBRcNU4NxxhRrHEHh6dcZePXGO9jh+
LRw/K09tvEXCd7LHOdbK/8Qv+Cti+vko3RTjulnS/gB58zV1jfjMXARfO0lyHp0a2m3O877xSwqU
56m9slEI4Q+Ew1A9i6IibgFlI7Pzc+rHzb7vYUPfuRhgK7zXmbfjMFIc82BCCoYUvc4nM9wUeSbh
z3hqh2ZLP1Xidw8gQMnvJXjsbzJb65umA1IyOX11svx6+CLI8S7z1vuSfiOAVpTuXuhYv9d5KtZS
5Q7Hj+bDrhPyXYg+iIOuVUfneYrGg9Cl3PFFGXdFYgQcaNx+FwnPJPxS+1bY18gCnZn3O0V1JHkv
2q8uRhRZr4DDFhuv3uAr0usmjsR1wkRybbuKru9WvGYq9p9Hwk6XsaBmU1v+6zh6DtzRaR3Yff4g
E6M6yK627uo8r4+dZwdrkRAczvtyOConim99I/vw20px0uT8ojjfnqGa+vusNPpPUgnBcQqUvUsL
M/sFu7QGw+iZvxb3ZbX2mro8+Fb8q+usesv+ZHxTpgdyO4yTEHaAB18mz7x3y+oYwrtJxGdTvuZx
/loZvDRwRiYd0dAzw6UpybaLcosTBm6VXhD+1Ff1IMLzXpkU4vig/+eR0TI7Mn1crsjnqm+cHTtb
nsvkmtIDPoAqXoHhxrpLkR8M6r6394LTzMTAgIzhyknN8CpTM72fpma+BENEonLG8xrZ0O/BaIyK
V7HLLWdiuZdJhhBOQXT8ODhNdqOQ1W+iybFvsWfh6omC4X6oq3pXNM34s6WegDyasKlwTw397SN7
05c0SHOfg3e/qWf0g1EVyJRUlZar0RnCr4iD5DpbJG9Mq0W4AuDtnk3ts3eMW1dADJnEyql9WPh1
YYliXTm9vwo9DvVUfuKd4ZlroVWl1cTZy403Vhj1O4AY6FtGbtAgl1v+uc8pAVm1sFiLdV+V9c4f
gCVUvCm3oiEDKnvzHFJRmK96EG/fZTeXW8/L/AOFJs5NrYwvZ1ZYQ6IoAWVFnwpyAAEtyn0Zxdqo
VIBlhf+KMzVd9bVLKhPRG1BRtMswFH0C1c12Vmw6P1OiGad5zPto7fSRQzqHg3pttsMbpDL73kgD
l5k5HPkO1F9IUfUwncvBIH7rkbM7ecCO9AZ4SLQl4TnfIyqX27kCcuM4eFjAeqFDsxG7Zhxc9142
dC/oXiXKesEkLQlSg1q9MD4bmgOUyn0vJ5DDrwScDFOjBV4N786APFX309ac+wTjJMUJ8eDNzz2Y
U+CDlbmLiDJvItoROcDI4DbyivreIUBmBl79FEOBufp2d6gLe74MnRjW5Uior+O2XiWZNR4JwA2c
Fp3ynsGbgRhvNmBftTc90tihb/Omt54sEpXvHFmrjeGkbMmGejh6UxwFx4J6Qsp4KwKUZbO2R+Cq
uWvQ714OD6Gs6psp0cmaxVPccbAs1qUqojUxQGrLReVvQnsQx7kyv8CEOXdakuplEGgd86ZzVrHZ
5GvOXFa6fMn7GsfoJoj1k+HqidmTZbePsx9Nv3IBx3U23OkwJbl8oIsih6IBAh7wEnkhcrTpHiVV
b+KAhVxYc3uOo258LjIhd5UuwrXj9c6tYP+0KksWIh/P1iZAvPhhlyI6TMyr1gb4qm0tqXHYJI1y
fvAQnFHjfOOXCYN9NQ6Rvcbh232DOS7B6cTltakcExmDIGZZiY9wzsMtGZ2MVt6+x8ncGARumRj+
sOawvanz7NrQRURPPW0Rdl1TULP0S8+FKnfD6M33wiRW3RAIr1ZtF8xbGTr1PpclGDt79DbA3wip
uZH8Bcit3w7u+JMgEEMX1kyKgtIhWtccDW8iQ1YEcdXwqhmMraWp5ytOZ3/T2qXzAzMF94btaMYe
HoJcnI63RdQZLFgg89Hb5XuaEScivhffmUFR7GdRmh9DHsoNTR/PQceSbg2TdVC9o3NGawFyYWyO
qJQz/GU/u87CPC5jfDBktulsU0GeCgev8jdu3D8MOg1fKbnGU9HlzWqChXyfZM1UrIwqHF4EZ/2T
b1fuKSQX5rGCBv6BdROxoBU3DZSy6zx3910Yo9NkzAxQdtO14tp7SiYrX4YTK24JmjnIhd04cxgd
fc+4ppPPpTbUJR11Nhl5xoUe6Tun24UedC7GAflaeMENG/x0X6JhHgNBILaYkZcGjdTFDRXtuhx9
MmzpMLXGjMEXpSE3oapZvodg+IhiofcG/JozQrT706S457Omd+pONfVDY+fqkfHms5gkdmM/qG6G
wXaPdWvMe69ziSIqt38GwtOdUHU+kjlpj1GCF6RKKZXuuyk9dHPGuAS0THOKLXKLMg7lFXhleT8v
wwQGMKrHSveAlGb9QPgcbjjY9xEnnaB/NePYOGRzr25yHScnK1Y7oKvVGsvPhQnlC0lEuRLMC7dx
YQcrl1q8J98L9b5Dpb4gVZiUMWgGR1Xwy0tDlsAwivZe43OEIBF7aDB030SQBKBApyG5/YbDVNOX
Gz2jW0FSmb8ZMT9FOQE7K03cxzTgLbRm2q55fwgHiX3bs6oSEDffgwY9mgJDBg/AtTP8JWh2480U
mPI5q9LiVKHPb2E393sc5v4uHtPgve6mEfdpXL+PBrXooKL8bdlb/dEdkg5UcvM+ADJY+SI3d3BM
MJqH+Tbrog+jU9OmnjDPu14yn3yfaXQaZuexPQOClYBIy7y/kxmOJ1x/6DHCzZ4Twyke2VSl56Ly
eNQrk1lgPKQkecuyNffYwfUdeuUud2y990ZR3zJLYPQ+KmMfJTLficgKb1wGvdvaSrpDGCQxKjIj
s/tK6fEYyczcwaQGDZQkak2b1ntDHcuaKY/S+2Ew54se3GRh25uncq6LnfKG8aPzAi9bAbZbqBON
Q5kFyKZi5UAZ2qhyHn8WVK++O3gtBdvcjzz0gw1v5Dvv8mqX5IUPKrMwarCTwiNomdLhOdfQ4uCG
5gnx97S41aOV0h5DPyQqXhWtUR2Js9YWWsE88EhzOCYqXyCHpsmFfS+BYUE3FAfsnQg0T9AhAHHF
OrDmIayhiHriENiGYCzhqVVLDTD8PBz+cGHAUCwnXbYe0Biz9EExpbRXjZjGcxA0HDULi1MqX/U7
HsTwYI1BsHWLDkRZODXpqUZQWYeR0WyqIetIx8PXeKsisfTxdu4y0RYPruaBtBqmMGFI2Zo/qXLJ
iCOPLAi9la1tGk13QTFjunj0xqBLiCT0XlT+jLu8Z7KfF5mfP7ljlKbyFCgvTs/tCE/gaZh6PjVE
ndEAVeMX7JRXSc2s1maQarpgJDh6bxiOplCrYLNujDZIWgyn0/gL/mX0Nfi8Q/YI6o2/U74DyKU1
yur1MZgCGufMHlcyo4j41PVedVtp/nTZOOUPMu8rO51q0OEeThXfrzaMiq19TFaCZiY9Fl91IMzb
Mh69o4Miyx3MYe7O7ZynmfHcqqqV8yUz3QTw1WZ9Ji0xbNXs19d6qaxNnLw+GbnOH8QQRegPtBDR
KzJ0B5m13rIa0GlSldamlGxhrKHJGUXF6cGpM7lF07POomhQFUXNFgBtGUhBNG6UM+U2tdy8nkh1
SVSkl6/UIgOoaGKdI2SZS+mCyCC98cldBxw46zhrpx+DCi5hQpxlJTJ/fBxRsDd9QkB/3XYz1Xg6
tNZJS291bWegCnCBOB06kvaoGag1TdYjoFIsgeyRGw2naMyT5Cn0MtDTbD05M1H2NBVz+Jirudl5
y4cd5DCVACEsdA3q4e6MoB8AgBRjv3VAbR6npKkegyAXLXxF/mg3++qYNnVxbUNwBWFlVi/kqM03
k0nOW1EC1chdcSNpMybOXVCca1uaYVzhg/3oenEm7K0fmWo2xSYIdOHeIuLJhyKqPty5Ri3W8xhi
yowEYEzcDvE6nkOoLwIt7ZJmU/aaCJ08ezAC9h5E/ZCyc9PacxRqn9O6G756PAFrjbqNjBXqDe+o
2CV1wk041gWRfIeIPDl15kLt0sa4IdszfM7s+tjxG7Tyknif7itQAxEgxyy+1iFzFFHNzF6Zflnb
xjOofXOxVg2pjI/RPCc3+EopWKQ+5A6dlwPs6HAxCeMz88r5OQploFa4yvjl7IlFQ6h0ovuLJB5X
/iCg47vzxZiglmQY3Zks9NkVvi39qTPXVT1jWjErgeXcSmN6vixGfzGUjyIJTMYi+D85fy4bWVPV
N8pmc81UbFE753DrT9UAxbbBqVa9le3g5RczTRobU4LDYayidV0wMgbhtu4ipxEDIwBn/jKmQgz3
5u+8dkT+Ly56Y3pti1GPT/NgJDxfjZYDb8tUpbFdes0713I1nXX1OJz5SGoPi0RYRc7absySyrj/
k8u+iWRrjHcgePeB4VZPWZaPL/8g//wLZ6D5F2u18BYkPO2eLrsy1J2/um41GJcks83hjoyfAvBh
RSvTAghOOZ+BnS0I363c3veJdbJTtTNkvVORufXc4FZ387Yp2y2/6t6fEwb08f5/fnN/cRD+8d4c
Ip2Yvsnr/BUMnpt9VYgAToHW9Z2r2SsGh7i/+89fBMP8QrinzdT96wegYJxx6O2Hu9giQcd/HCPb
FW65+/0y/ytJ/ltJkuaAf/hG/lmSzLK4wFv2p1w8Z2D+0t9z8e5/YX2wiFcr2Fioj/yrv3PFTIpo
yXYsMZ/fLD4Ey7/rkjQXkPLCDmE6Lj9vURP/pkvawPgI0mHv9R3s5nQl/Ce5eBKpf9YlCeMSu/e5
jwCfoRj6i275D1Gd2ImRb8wmOo00z9CSqCHxq4Sppq5cpJ5pBOksu8R/1GmFeWKxLaON9Z7CxN9w
gDzUZk5exysz5zTPrgy2WV/ONIoJMT50aPxyTx3rZDykflK/Voy21JqBekiXdpBhfeytBprokHuQ
zehNtVZdLmaIOzi3QZGAaQYWUs/H2ZxbuSqSEnBP5to1LBqC2GsbeNKpaQLdr6RnVJ9+Mrk/eS73
m9bzGZrOAuoeJM62gXWiLEX76iCtG99qo03j587tIJkG5X13bTA77dyGfMaKjRyt7cox40edJNPD
GIn2rg6t/JonzFq3gMsMZtTeGKpVoUTIaS/R10zpHjcADFaeyNMhJC16snQN8Tfy9mNsgZmiVbwE
A61gGDcRA7t2sFJzMyrGrrJ1rVeKXSwoPHX2aFpYa/1Ivod4JC4AD/1NMdv2fWcl9bGHf7iJTOs+
cuZmg63M3RpTzAlLG9m97RrZnV0MVyXY06osw0CkRzf6iWVA7yVJ+TUKFnV2eY5HwBmra1+zqK+6
KA5v2XbKuyEqbN5bN3c3YthWVlneBbrOv5Pe8YGKy2nXKKJxCGHNFW7DTxUEtNoGTM4hZldMUvkH
c9NXXxrmqkahBNarTv1QMtfC1PaY1I19tUd/PAODGe7jRuCYSqPPhET6hyod6ErheEaamjaKge7K
wQLIk5wm0b4c88esTnMULyoXwIpB9+YTgUmbPtRZ0t4ZY9qtQUM3z+k4ByvZWOPdhK1xo3Esb03F
OzVwJ2xEH4RPM6RHeGzewgFOipKTNuRjKlW1Ns82AJjTJLqvjD9/CTuZPUBNYQqJ79S/uhg3Hzxm
P0hgQYL8jn33ThpImonmiZLikdjPRldchcUV7Tpde2OlUp6nzAJnYkOl5rK/LWEm/EAHJAhgtG10
kklkbjDqZRWH/V5uAKNQBpQEUNyr7uzAqTiJyLntQeUyl3UKnGEl3aleMrLvKrKeEiKuQZyoePm6
wGjXzty+GDwRomYGiDSJXeCeJWQ6jlnF2zR0yX1kg4pr8R1Mtb/xM3ll75FtC0//bLTrHvOkfJmW
OFlmNe+5W2c7JnDttM5j66wk6lOxfFPTlxEGBN5plMKxJl5l54/AyvzgoIfeuB0glW6DToebRMgf
LIbNBYDVuDNQxSFxhAqSbCNfJJ4nzLxug3BJvs6AJOckxslly7Zi8PwD30y17WBp7TM8jGx8T3Mb
37R5S9dXS9i5iO+KgCME/XIrrHg5yewEAC84ql06JONashW6AsnOHrSnwiPhMtylnMqOxHrHh3zM
5n3RUk+L5Qc0bzo6t7Lu8RzYw7GeJNgtBMjhYZDtS0c9ysGoJnWHaB1B/ub8IgfxyNhCZv6mMjkX
30/BYOc3TD3v8tr7LKtSbR1n9p8SdoU76A4pnrg4uJ/g3lxU1HwUUqPWUG20mmPzw9G9WphFon1v
an7lBZq6qXVmnQFrcQS3FJe0CDOgQzJjfxdl9xPL7ioClLeC5YL7wi2m97mj45MaXeqfOq7BeBqn
d38accnksageq3p8LASY6hDO6aVkpo8v3Gdfeh+qwDzamjMR0xLJZi9T4J6bOSmPOu3xqcVFSxZe
F/61TdxvXaLfhhZT5yHyMkQFD2Y5sROOVdSU52WwljHxKA7OnULs17EDVGvGp+pZbQ5gEmMAizty
5ti9RNnUmPIw9UV7ygsRdTxbjOpnamAtgqedEHYYIw7ll7T2cAgm5egd0g4B5GaUtfMw8sB+tOuA
WyQduPRQqnr11phxfYrmHFQeJAH12XL1x2uTXDM6rBG4Ev+kdq8V9nkOCaaoTyUwl1M1Bcau9Skm
AxrbAna0w0uUddkjTkfbXdU9fn+KIbhwfTrnfhCIaba9JfODGYfRh8eu34f/WhO2DKdW3oR2TZWE
KzVy2DzAbOg1J93B7vt+hTWeqmSW9u8ilWzNSfQNty0NW/fTaFUCe9/E4Xk2Cx2uMN/RiEFWsXsV
WGA+qlrEP3gmhyCr8u62sef8EvTK/xZj1GEDzwL7ajDlfzVAVt/lwj2SU2JMldvOlyr8/8vemSy3
jaXb+l3uHA5s9Ig49w7YkyLVULJkeYKwpTL6dqN/+vttpPOU7Twns3Kek8yqqJIpkyCw//Wv9S0b
8lJk1h3WqT7bhjj6j3bZH3PutmvJ+WHaTBlwxZUf8C4i1EXec9dP9hlpKnvXEj0JTnlnEIxxqnh4
oGXTeeY54m8r9h67jhWnhvjjVgFYCRGFRxprx7eUqcbiZhQGzwQ7epVM1Lkqp0i7jxNHkqQ38+YV
03h6a2YVxXQ94DE4mH4+H/2uTt+ttk6v1YBdhHILg7mxCI4srPINZTh8Wauyre/m2sSpIBeKnrEQ
9SbD1y+VwuzZCrhHq3b92bNwNhULj08L/RDCgsL00dzY35MzQcUxFcbPUkA/qPJkxUyF+esW4p+r
4H/+wgGcFBKwWuiAyUIK9BU0kGZUy1rRX9dek4UqqI0ABmnDzo585/A0dIYOgXCymPD5zf2t6QIo
DBZWYbFwC4VCGHYKZhgorCGLLHddLKzDWmEPuT0j+NqYsJG2DPdMg3d9ErQ2AGqkFntS+MRMgRRd
hVQkVm1B9AOziCm43RJmgb1IbOxBdLLdSDbh52xhNLoK1zgqcKN0FcMxVzjHdCE7xqGiPBJ2LD+l
k1EV2xZvDJguOMj/IrljXgKd7ZNpOF8tBY50IxCSpYJJmgtXkls8jEkY9/AmidpwR2Qxqx9j8nMX
Hyjd595ugFRGFTFCI7Rn3PHmZH51B/bErUJb+q2iXHoL8bJuWH0WpVEe8GXwH1MQz94BT9l09dKg
7tejEYkvvd/jmivs6jPTeftg+y2rsGQ09NduoW+GCsRZDYrJ6Sk8p7+QOoOF2ukpgCdZh+LjNCuq
p6kAn50E9dkv1M+5AQCaKxRoEqb3Onz4T2DTbkPIfKVChuIf3A4e4Itiav0Hq/X1204hRkMfzjUy
WmXc4b3SVp4I3X0N7Lpa2U1vfYXiYZBZVeBSKphgmCYLz1QsbFMhYx1jYRjeytaYtwMhuaORZP1+
tux2M1dmtut0HVQrG0C4afm/ogWjGneOS0gL6XnVK85qCsD6Y4gr4atjlcGuLxWRlU8TOmulQK2R
QraGC701CGwknbgJE4skmJW8w+5h3cLwWawqLcq4tZjDpWRt9JIFY/aEQBbtdUWKbRQztmGngwoL
uuYmbVTHH+i7KB/Ck7fAZosG7qy3IGhBpqSfpOdiIWZvzBYgiu022FaVAYpSoWxTTVSnAfvHmb9h
djYU9jZQANw8bluCCHW/C32zONZZaG6MdH6pFmwubLLmS8iC5t6sa5Zjiq37z5T8H8HjLE916P6J
cad4j78UxD5/I3kf3//v/wE/r37m9yHZ+uD6NkZtgtoYeFy0lO8zsud90Dke+g4kiWXY/cG7Iz64
tu8COnOh2TtLGPr3GdmF2M1Ey499H63/zoyMnPKHGdkU/BYw6Lhrecav/LaOaS2eo1FTtmBaLuss
+2InhFFwoeoGWbSZbc1qkhMRvk7rh3UaGuLsYHy8zE5AIwSNoekWp2X/7mJgoVB3LD77eoLrOPRT
DLz8VL4ZqdPe5cVcfM7twMTCJoy7Jh6cdpUwoV1w1njzmj5blj8SYNE+drxHF4vblXqT/k7vv+Rl
w3eGwfK57fXmtUzjXlvPfVbMDCTV+AXXDAVdeOWmmdN1SLBv9FWzltlCANpWTp1+jfgWh5gWcoyW
ExmIbWlMFH6z0ic4lfndBZE/oK1GD2a2Mo3hgdcpPZeRkqZgMoleYu5rqsMwsBC2P5uJ23tbHlgx
Gewicyg01uh3Urb617LV51vA4Drsz4wmFV8Ob2wCi1cLOgnnWg9yEmup+mGqkvCLERlMxgmczxw4
at/RbEQUVV+PsTfcztiu79FCaT0cvLHGYJgPLlS6OL31zHx8AIM07xQHd5Ll0XUHTPMQwtZ9ASXV
sab9YMTuvailT8GOmb+NMsNIM+bePTUKbC3apH00p0ESS5CS6q7JPARzJTKiIGz07BZodDLN3Q22
d+C6MxyrUz/Tl7vSQ1IDrApq9+zpuVGsG414rplX3SMELE5SnSBWRvpVfKLYKPjUaqzPqsHGd1/4
2nmYgdm2dNzCv5is9TAGM41monvJ0qmqKa3Lm/MQNPUNi6j+m4/5hZDu1GrpRmZsIHuryLYVpo9k
Uww+qzTB8ubCONsIqr26FJw42dAQl7m9D+Mc4dcgLfU5STAYK5sojbD0LIX3hUfxyIE8c3yNqtR8
McI8fvBnm1czdbd5FBUen66OrBthJAwJUVdGB0bhEPGorDZG29eHAcz3NYxyosy441+1ImxOpp77
/8Kw4TY7R2dNvxLm4MXboa79K8LPPLA5D0sNqLTp3EdWzMQEJUsrVr6c0zerKk0f0cKge0yf841v
s+itc1E88TmmH5nVont3TORFUvp0chuj97eiHHAwBYWFW2QK8w2XK2QZs9ZVLqyUG63mfxdlaF2o
9uromSnz6jZBTo3hb+V8yz+NhUgsLOqh71u8PSOLhOrk97HOv8pChG27Gv1+ShwsEz7FKucCFaxo
VzTVtvMhHzAiBT2hg+s09OZ0AqyfHOrBuRdewpHVcqlSNBnOMJj7j2PGt2crxy57DQJWuyILoHK7
Hc66dVoZEHypgH4kFNFVJDVFu26tCZw9h8Zbi/H63GJb21NZbq9kKTPsFuSd/aBPt2QRuRT5vlwD
iRcKPm6ffRyXcRWhQk/uadCZmWOtimH+0ZrlkDPiuk5h3xqi1g5D1zxbHKEf6A5WUWk1IZuMyn1Y
OJdSTc+5mqMzNVFXXT49oFIYx07N26WavL1JZg9DY2I/+j6Xxzt6iLKtW/FBggRdEYWI2YJEtznI
/U5N+Dqjfp+cWDPxJ5lave+UGuAjCzhKH7ARCpIEEYs420p4QvLHKDVB6QoRjlGC8WgNQqkOsLzk
XYwQ4StFYpipciVqoF2SWQTsslV/DxJGobQMOtf4kKf3RvY37cx7GLT6TbIIIIJa6Z0uo4/joo4g
k3juhF6CcGLziW3R+6660lRITj0z9t05Q5Lct8gurIdYLk43rtJjKM9+7GMzX+Wj264HJdyQnuo3
xqLmYA3yDlRCpxh4EHu633QfFKAaB9KpMeVNq8ShCRzY3lCCkZATJhzLcBkX/TQ6NaFrxfz1qvmV
FZy8ANS3ds4gVgaX0Y2jZCmdpDxmGCVVkW/dUwqt7Wn85GpiRXULeBx1S5ZgwT0ledXT5F9ZVLEu
w8iSPaRKHHP85t0tI/2UxqG4mXO/3mqS5RNhyhFUUE9dYk7ydwqfXJLDG6z6QPCUHDcrYS50wumW
LDLGqV40H+c07Kimxmti+PGD3Wg1XwlkvgbVCyUF6Q9DUv7YZ0HwYCthENcmUZZSnzYmH5PP7LFJ
lZCYjcGXSEmLhhIZDSU3xkp4dJQEiRs9X7emc5JKnhw7Lh3ATi+2ki4BH3A2TUaAfA6/qZG6bwOj
xdXTfHjz3QiYmUYuDO1u9s2h1Jq+ja1UYunQWuimjZJQucdo56SN0VXrKK+vdhZlm1rJrqYSYG0l
xfqjjN6sRZ/1SynXbtpduQgzwOB6dk+6hzWiknZjJfIKsXCfrI2SO4+5koIzz/Q3Wqfk4UF8tvuG
8zG9Vo+5EpFtJSe3LLJpnVMaM7dDpTdj8lnjqi5206JH0x+0F0qi1pB2T7YcpkPhxePRaXlEjuns
HLUMPsZvlKB/tkl/uU0CE/in5+Ry+OWQvPzA90Oyr39Q6S9Ozj+dkH3nA1YeFsoGCELXIDr37y2S
qbZI1ASrMih1QAYX9P2EbOkfTEeduYm84FVXP/X//uunVlv5y3//EdFCNOXnEzLRbcVXdji9+zr7
pIVl9sMWacrbti/cmBRjnY83WiIJHKdGeh1NO33Pix60/aLfYKNAy0kXWWcReBatJ3Clds/8iwLE
2N/fW2YbPKczX++bWolFUYtP+lguag4t8qa2JiKEtCQChGWwfc+T3Q4PXVOZbPTpWiROnHjZe69E
qr7uvOdoLBPEs0XFahdFq1DiFk0Ox0jJXRjQsm2yaGDOoocVShrzlEhWoJaFRK6oAxh7YnK1dUXw
Q1Xr+ir41iqpLdT6S4ohC6WiiBPI6EhyVhD2L2NYEzCZZPRNM010OzKkxK+b0b0nUuZz5J9MyTc9
HC+z20Bq9kmQf3NzTXsoC0iPK7fPw9teM4C7LpphiBrHiq40rbMRJSlIUm4Y6FUDZrAZkNkhcwK5
takceKVVMhzXppd7e6n2fiuWXdnjJMjEc2JA34MUe4iHLNyTGPJOFDD3e72kMnIz57nzmEchoVPo
QZm7miZ0ANR9o0Nfxt9OMMAq/feJQHOl2jpcvOGqAYLnQLs2grQ+0cqZbHGmEPxme0Qaqh79m4aK
kWWzWKx0v/JuidHCPyE93F17N68P4RRRyarpkikk8Nq1H+dZubbgVj3W2dCehOuhI5Lbeij9LGtX
WlVkd/TTYNj0wjm5i52pJKiGG/FT1ukY8zqr9Vi+lVgionkaVQbL9Tl2OkFL/nJIthmpnjtMpMB2
xphqD9ylOP6GEVO5Hsv21Ca5Ga2caAzvvbb6Bldh6g56O9fxRoNk/I2AXkaN8zBnwyq25vataDh2
HAKMbM9BNybH3izq7exPiQIfOP2XSvgMFUODNIQatfM1s6Fa16zNnSh9Bq8RTN/dTEV08lzrVBr1
D0TQ4jJjo8iCaO+KPr4OkxvdY1afRPbOp2sMFhVGTcx7O9I9o8mzDsW3jG+hqufBbSgxM+eixHxi
tT2Wo8Hh/CWMj6HHawSy3gCje7TkSI9SgcVi3QrRF4egENVOoyWJjWvirHvqz08I2OmOIF3O1xvQ
2FTiEg7TgeQZUg01b+VW6lUO1FYEuyRKKWRzW2Mbj363akKTQtNU3Bitj39Lp0RqLC1IdP4hG3T7
PFdWsJ70BmVfL6YDS0ne947AK0Z7i+qowmu4Aq2i1qm5KicHyEtn4kUOcFAmc3sy8ibfxqx+QVr4
w7kjML0ZSGfsa5u1B97+ub5xZN2d8Cvm10kUVrGKS8feO0lBUsaXD3PEFzMtk2+zZ34UGgmIzEvf
vaa0NuSSIRDGiXzSOiO7zYbRXcuCqoN4tMUjIXLuWh5uOuYS1ie6w6oJ6120Sqh0Jj2Pn6fv0nss
lM++1WTrkPj/SivNQ9KGVwcX8TYvRbKmHhtJMtZ7e8X86R2a2cH4mzrq3S6HJ92ETqOzUzu68Eqh
Izs4tY3EuDrQADbcntItQ4N9xOmfQ63wOWOGluwulEfp23pM8KDiAnsxM8v65OZ2soH4nbEwjpiN
utZ9QmPpbqrByUZuUpJ7CscUFP+Y5vI3nSwiIkcaznc6TAtWP2FyP/fcG1PMaIdytqxDp/nJeRCa
PzJRhuMuMGZwxYWer4FVgIOL0/o27/p47za5kgCNL7rDTIMduqfqhAC77dftFk+/jm2KN+WBwCeS
ycxaE8NuxrttmAlfVA5h/lsMuon33OzZMcUj+CWasotzzBbtLpEepjDd1sAUpTODiKFvda+C22m5
3a6RXv6JacS7j9oQ1T3k4/+UkG8y7A67czoWd6IHozxlof5EdiX7JierfXVFaD269Vg81DXQpIkd
6S4jJHLp59Y7stSU6SpD2dhC78246UZx9xhbJjmMSJpfTNpQD6ZZD2f2OMXFE5U8jGAe7qS0oRe1
6BkyH6bHUOSOR4pGxIARaKTWGdbO0sY2pEeUPveJTHEmetwys/COgpHkEAdaTBakc71V2nsuOyYz
VERUpBKaoOaTnlVEe5GMsAdlwccIl2tENbItP3P8Iy09a318NvpUHiRNaJLl0vg1h7RPq1I1P5m9
iWgeJG5D5Vzchiu3lh+xuhvnGWH2jHDeYwh19ITrrY6uttOJR1JaBq2uSbWZ6PmGSUu9yUtVV/Le
nJ3xPpIlohk3pvrAE338EpFDfzIjy6V4mlgby1oTl6RhzcStu5ascvvQLnVBYWOq7iC9dtThdmKE
oVdoWkqGSI008YvFLED7UFs6HU+iVPUSzUtFUYFDftsJYieT2VNhVKk2I0/1GgWq4ahZyo4iMoU9
8XM6kMJo6vYDtUjDOIKcS2lK4iINjnyU2YYIbPZgKiXJplqpC7VqU5M0/ScA+h9VODJJGFig/ncd
+eZLIb/87LX67Ud+PyFTGUIxkEuuSOHGDcEp9buOLHQ6UYl/ctxV9QMUA/z7lIwj6nfdWBWdkihU
tQgOpzsipL+cgv/sVIwI/YdTsY8E5pEWsU3PcH6tPKhBrmZJODo3uVF5Yg2oVQBYEmwe63Untaqt
iT+yNhzI05tlcFsWE4/gxtY1lIO55ap8zIjoaDkWJwe35Vabx8YKDl7AFY1u2uNgdWnsBpETEW51
d7Rn59Zw2xKUjkYUXJfTgSXZw4e7Vma5c+6tWr6lFAnR4kS1nzA0d22pnqGMyBDGHsqHKoMWIs2b
Z3Gel3KimkQK6xqV5Zv3bFEU9mwUGTwoqbO4chtVc5TVXlffk9tMaTAK/FdJhx9TOw9dwZesT6ob
aEhUwONk+qSBNi95icmZt+NSsYTXBIK+qZqXTNXBlNaF81oj1W401dCEpZonDjPtruwm3NNYkJUq
bpCaKpeKp1a1PaVznh0T1QDlqC4oQ6paKKEaokqqorJxuvX0Bphcn+bTkX8El75zTLhHtEzBZhRb
Sp399Yguyf9H9VF1SzWVvrRUDaqwikO4n684OnNLXCqtBtVuVWhzft+xQH0eo5w9XDMNe5xw04Mv
jenEg1Ep0gTXtVXADfsQZUn8zvVgPyQpucttXxraHfESTGK205BHoQmKYal4imZ6uWZwhfc8Yt11
j1Oa87DXGhfL7o0Xban2cmpavkor7DZ+xXE5h2V17FUjWIbzud/EndVthVF00LpUWoBc7c4czPmQ
LdVik2oZ06a82nlxpu2xSM9HKzLmN+Rq+sTIbTzOqqusU61l5VJgZqkus7GbHXpmKAe3WsPh6Pn9
3+h+Vh9dNFu5wNfxb1W+9fdi30rCHjmh7Q0ZjPLfun9xxSGskIXFmDxkcpi3eoT94m25TfyjOPyV
4sDQz93tT+6o3Ji7t3T6aTX32w/9vpojBu/6gpSbEgmMHzZz/gcbMYLbLJ5RD9Hu37qD6X8QFm58
ovWmQxCDvugf7rAWKzkMpwJrKyb1v6U7/NopQqsSdSKGAvhT60QE/ZdQvemYUeMBiD31ghMPSqFw
HwYYGFzjBZ0TNfNer39NVIdsVZPxwi3k+de+7NsDxsR+b9ZQV9GWdf23Z/hPCsmPioht/KKI8Kvx
l+NJpFPYYPH4Ud71HxSRUdqTnYIwPro98ZU7n4P4nTc73Ou5SdrpSnTlYywszdrGDSS0kG2GVvWk
kBiYgnevKMSDpLSgbrbV5Obuy1xp4S1OqYGORb6YrzlwRyCFWV/BsusBiG8yOyETx1LAkxrBtVbz
DkMazBtLTwvsrgI+JzWYJSiB5mMEh/RQwkBJsC7ZWY0xTmbThpMYYjRrLf/kNZ1Q679kOzb+E3f3
qOm2/uCZ92BEOnpNQQ4R6s77FXfwjFXokNRf8ynXr1YAKIrBjYwKFFuUWcRfBSSB1xxlJ9KcGdRB
iGTAN/EHP0Al3XDMGnZ0aj+PQajtm3huTnWYiH3XmfIt1qPmzofBu3ESeUMC4lSRdHxyixiInj9O
e1d2LbEq8Fmj1msbqk+442bskG5rIMjgr6KdBquPGaYT5VWz/FfdTCQocHKtmznNok8G4RR3pXf2
cNHYOT3gIsHC6EaT3A5xP55Dd36EW5ndNRP9CTDiC3I9gyPCnZdqFmlJImZwcOVqtInf8mSGRXjV
vbS69qQSAbd4+b3dz67CoMMBujDWSPNjEmLEGIUW381zvWXQNXbUTwxPE0ujVRHhYRidyt6TnCh2
ldsCrBaN060lEsZ2xqdyGE06VAinaCtz1sl1QlA4okMMaxr8nAfe9fqGKHizS9xMP4XC9E++cLxT
JPQMknKhZ5+qVsin0mXwrQfhEobvNOQWGc9YiI3xbPa6+x66kbPDN1Nv2b0SYDYgKkHUbLZGXLZw
BqLe2sHpw8BUpVX0JeWyX5lGM65brrTVzF3/qrtkFMhI9Df2ILstZiaf1VSUbUmRFkStiF1TbmFe
ozaHka3Pxips4ohLusndYDcwokzUYFrOJ5s/ZE3kmWepRxusDXf4ixEmEYm/afqXUYfBpcbGuPHG
sTngqGQZ36JgvPIknrEJs0w5Gr2TNJtyMCn2nVtcknuewGxaXVtKb2XUuWuwWwX7stJNf9pkYRbO
mJoD7ckepUIHaVkLeq0RNz6UK3s78j4ee+JMcpWLLDqHzMjAjyEHmLRRzWurV1pYT8Z/MmxguF5g
vWHlGQiRZUPzNA9VcVaMMN6+uU4vNs6CnVn6pJW9WH27Iq/GcsN5o98zc5vEtMEmPrigdOy9m5bO
McXE40fD/NXtZ6Bdg7SOvgP3BkEMjbESxL65Ew6vfYRYt6o8B1RCHs6F2KRxQwE1T+VhwsLauJ8L
yMDdxsYXSj6KBGR/y7baOo6CaW8FB8DFw9O3UX6eSsSdlT/1/bGEUgQ+iZsI0WikL9zqpQNMKg6N
OxbRw4PT9ILhkg4AjqSFzO5At1Us3T2g0gyRpcZcLvAtV2getw63g5s8IouFhTnLnzkI1VfAay2Q
2MzAW6Z2tFqt1rWu2tzGaofrcoTKNqKLrY2udrwO1yjpVLX57We7uQxGFN3HxpB+rNSG2FO74hBY
1SavBqb2ZZVsyzR9S8KWBXO8LJsR55x7GU+Z9om4AuvoUW2mjWVJ7S4L6xB2a7Oz1B67mQGFTrkY
Xol/415Q+26hNt9IJ5tZczTCc2ovri8r8lZtyyO/T3bu0DePgKxZpgfCiR6EbRgvZZ/HV3cac3GQ
jQzvCQBVBCUgWWVrw43k53LSYVBYeEHtfaO2+IHa50e1XwNAovjl0uKkwFwCvCDCPeex+kmZxO+0
UbkD7B4fLztsUE/c31m2a5D6apecMdUfvETo6/MZn625SyYTSlRqjNt6wJXAvWE8JsqpgJdU8A8u
Ou7zfMlTdnSQAaFyrbqZzDtZZewOiXI+iMUE4U6GMkRIvBEsIZmne3SPm9ZznOVjO9CBfJMzTSD7
mfwle+FuZeS8JSbrvMGzqnVaj+YzW+7qmDAs3PuU1/Gq+ZvBup8L0U7Nu1GrzhDsuOXY2TmcvAAn
B5BEEGwrx9bGNQKLtvF06C1VZSW3kw2cxmJw4Afm0bgr+KJjA1aGEmIo+hoYi7EBz8lWueEf9FZp
nxNlSGkMc7yx7NrK1oAAMazYlIH3ysQCo8fdNPhm9+pc8jVTZheuUttc4+DDA2MtfphJWWMkrIUI
u4rZ3JiestfYZoSPRsjZtaCEayQ8WLv75m5q4IFvsPrqz07StsW2VkYd4iJ4dqbFvxNaysuTLL6e
dvH4eJE7MEt7agG/uICIYjavIH7SZwJIfFxkx62kv9NA+14n3XlMx8DeJ4u3yITsPa8LGZkXubiP
1Nh+F6RAhjlilZ8nZVNqlWEJBw+fF7wBfExgRovPJvZ1/kxsToYyPCG0s013lQ3Kq6U4S25nfIuU
TSpcHFOcu3BPZR5x1ZXrGukXFlyvUhPOxp6EieMl8atTgufDRWT3NKR23EfRusuCoYAgXedXuDTt
bakyOoD8YywTKrijPKjhqlF5nk7Ka+gPPKxJEV5AnETYrPiKnWM2avaGFSyL18GKMc3buYU/QiWH
ApUhwplQf/X8mmBRM2v+idIdQBVswQD4kIrwUQFVIKlR2SRviSn5KrHULuGlKs6IfYza7DLgJ0lP
VfSMr3NYYk/NEoHieNK8GEswqjdVSAq/JimEJTpF7R0xKl8lqvqk4UmAxbGoD0BhrHEzDkFEQhgT
ObGDzPQeqc+yNuUS1rJUbstrUm60ka/S+6WTJZcmmtKRwkWXSuvCG58bw6+vmG3cz3Xg0Zvu4H5Z
pQBZ3iwRaCevdOtiX8uGBZkW5jA4IzHzyKAxo9vHeSXuDczt+cmrwH6EnQvBp9CtGCxbqB8pDsr0
dVH22kqadG9sRpxBZnvjeJPBIuifse4/MVwarLoYN/73se5SFu0vhsvvP/N9qhO69WHRuJjeVAGv
ksN+V8qEA0bNV6ObLiiRNbBp/p5K/BNamsU+mRsddTAgg5y/qZxZJrrfj5UYxCJZXNPKxhfKw0X4
a9FNNZcpZ/IpunMrirLB9ilG06BwTXbtpNPBLUGl7bo0jBB0YrO6hAsgigvzXS7UKDdEc1t7elRD
pJhrMFmldJ23mYt/mxexh3Ekh1JV1uxBXmKFtirlrL8nbE19ZrN07FaUHbvTJl/gWOCXy49ui6vi
yEatZ9Iw42a4NKRbtlHL4gCxLZt4yjrphS2fRbQkACYxaWcdhwaHZsX4EkkxG5t6aj73HbcRg3Ho
aPXEtdaTYoUxTXY2j2vYG1D9I4OjXGFHa0vRx8hUDscu61wo451KAOZJtWriYnzoa23PWgtqAVSz
QeHNIg6o+ToPS/VbTXPyMtqUd5sKkAZp5Bz5pDgOySwaAYUSLh209zJLeAQRq7RJn+PAZm2bNRJ2
UZDOeCEdi3cZa7vgEBXb5NRmeS8riB83amh44x2ZblLpJwHHWaeaj22D6GjduE04ptsEv2HFcXes
9o1XceY3RgOneGJlsZUd3GzC21LsHMXhF9yLGWvZjcUsYetxLdOKvoMbXDcF9kaejtBRWRNEaZdE
HI3DZgSTIvJU+P1NBuE8xi07Chh82NY9jcwJaqZtvbLJEFcpQZBmta+N74xvVfINx6r8RsGHMZi3
tO3auXhkZSp21LO7cGYp7XI/EUlS+I3c789se9OTszA6sN3yHJqyLjnGFs/gLSiDByFKsoOK+gEe
crijiaVnjRwncMvGtNxMihuiGUKc8PqVWxpmmNvjON2ngLNFXI3Xlo01UGjAfZvYb6KCtXmLQd7j
Xr+2TN7ttcHD8KAXet9uM3Oyj/moNzva0OWX0qiyN6OtaUjwF3pKo0Aq7cJUCdukMVeF9MVJmu0A
3TbMAE3HiThYRfcZpgsD3Vxa9j1aJSiXkjaSz2Fj6TeY/fNdPgJ+4RlVbFxe7oKLt9oLVkUPhcLF
RAs5hgcHKdqFJ5MaenpjiLCGykS0d+MxDh0BH9i3MZwQnoptZp0dxaspgllfzQnOrRT/Ar9jssMm
K3ZdBoI+kh1FtpZz1l1XfooUJydSxBx2uf2+UhQdWn6LUyfc6iOo5VsWMvaDurLvAiGxv5H73Tq1
uIBbIDUWV5DRzMpG5qwMttVmpX+jkUa/KxXzJ6Sl4qapreFc9ilEIBVLJk8bciLq030QwxMJ2GG9
M0AQh3PwZoYWPDYHzf/spe7zjOxSKCaRqwXOOVWsoirGKAmcenix65KtW5KO7P9i03jNKZahzmaa
y3A1ZDqGNENJtIU0v2muF2FK4d3YpQqj1LXZG/sMf93EgfSU16v22fQ51mNl4lJgFujLN8vDWGcn
VqgDRW9ItinWUwFUjz+j0o6ZBzAa8wn12B0g+0F3SipQGNW8JEm2QZ+gByumFNpzwAGl6D1WcWOy
a+2QoY0tHPllP+qeWoWrghaYPmEYBhSXlFfPmM6+IlzZinWluQp7hZvWRTrSYn/lW5n3PipMlp95
8YHQYPHuxrq/yRawVpXryBhTaSmkuDgGTnJl+PeOak1HheFkPzK4YgBgW2IcfEXvGsB4Ae4QRHDt
EHK4In2ReeHO3unm51JxwKBQaZyQhJWQgnXsV8hC/sZUJLFyYYq5zfCSRtQn2mZSXoysSuWqB0hG
qrsnuGe233A0aGuEE1qPMsKPo2WYn4wCk8+sKGe94p1NinwmFAPNaKChkf7TH4mrzOla1kDQdmUp
Q+ASoNW8CgqSNXYl2S8aT9aTgrFFSacxu7XhNzxM+qHAN/Vq0piibWYure2soG5RC4QHWwu4t0KB
3zwAgECeeudi1HO45htp7qxQ2Thqv7rxGPNOpd9U9yA+SL7XOuvNSRHo6G9qH+0+rCH8K0odACJc
uJGAXxeMNWXm5JCP+EWmbm0ZNYFAhBgx4qPnnFteRoXI00xgebPC5mVgR8B5+bijDSKD7sLZw/CS
XiIdAp9QLL5MUfkSxedzFalPx4c9kgON/Kvlj+2h99rxWI5BbK1Kel3WPeyxu6av0pfcL+sXYqjN
fcH5/rmCsnXTjXB4IgUVpCtjUm2gxN0akIMBjTs4LRhSNsQAIVuN7PnbI6TxHnK42320LB3ZMaYo
c6PFNswvBUCkkEG/r6UbmlvQieWpWICJuWInAjzIU/ZK9IR4sJ14H9vhkzVCJrIVfpFRHBJjoqCM
QuEZDf58vEiK3hi20UCWTvdfptmWB92aedB7BcmklQxlvHMUGdKNq+qJQiiqaDS7YV8SBsQCN2Cv
zjiWmx3toViy/zkc/yeHY+HTW/xnh+Nz2cXyD3mk337q96WH94HtLyXyGCcXcyRn4O/HY5+Ds8Kt
wJzhdGrgFfzv47FpcqZmIwHkAzMmfZ//hnYY/IE+uxgMmgRM0Q3/1mLZVDWPPxTGCcH0i9USOyhr
FBdv3s+7Bb7VQ1fGojnaTHXeJkk0ceWkO1+8Pq52ZZ14nD0rV/8qNTd4cunROE55EZw0HiQniTi2
djNXnEu+QvuURkIluFDL4yFmP3lVjrRGlwPGcb311wIr9J0otO5fSUOqCQZ79sy9ot1WOe2dDIIB
hi4LEFbB42jT1FjDRKg3w77NtfnAkO48dkU3/gX45pfNOu8AFZiGZfM2KLqKWj79uF1JUDLZ4lTV
ER12vMf16O8R9Py10bbq78Xv/cMl8j+ghn6h+Syvxy7f5IvNHl38WhdraJgdOf9Vx0HjLDWG2Vfl
41rHfI//4pV+yZqpV2KIYsKDq8zezfzlbzZjhJmRvnhUY8nZGGgbyKycwEASx4+A3az9FCXB9W//
9VwwNSzTuJg8mEq/vJ26QcgDafbYOYgFK0156iVGXxvovg3b9++/ms36D7qNBx1JIXF+/PBC3xvi
Ik+geOqDnV6KhjomOEZ4H7vMf/rz1/q1yFm9n/DmeBHXBHGDe/rnFxsBIkbAp+NjHY0ZpsGIRdem
rvNy4zUCQ+sUjXcdu67zINP+AFuG2qdYOn/V8vjHCwjEjgcNWWdd6nJT+fnXyIR0J/jxybHu6E7Y
oIJJKtuC4Ml3gCf8xRv8x2vI1oWSilXDuoXr5ecXa9gimW3jJMTR5/mh9Bq5aTW+wYSq0whCYowB
0C381PuL1/2f/pKuIwRbJId9sf7LfSkNE8oTHPj7xVDzJO75NAezG2jBiWGP/vkH+8trWT4SAZ4U
lsx8vOgZv7yWFWvD/2fvTJbjRrZs+0UoQ+fuwDQQfTDYiKREaQIjlST6vvevrwVm3rJM3Xczrd64
hjITgQgE4Dh+zt5rW2PsJ6eEYRd+kkVBkzPb5RItk/P89+daj/Wn9fbzXAJSt+sCGnPFrxmuadHT
wKexedKLnqxtRSvtnCfO+Icz4j9OjX+dGa/fCc8FYn0WGW5X+6+/2yDzrpXVnABxFSMl7ESzfeMu
JXq+0RGPcZIU7G/xqgHbY7oa7hhDxNe//66/3Dvrd0WFzEIHecqGfv/LvcPkIksa0fMZSGZmejQ2
DOO0EV1DZynOVeQx65HO8g/r+ecl/OUS2yxBcOjgYYHW+OXnHCNJ6zNUIPZAtHxrU1mcCYhYbms0
OIfWqUvAHcba0ZiWOVJBOJGkeZpkOf+GSL9pf9bo6c9ZWOLhWvVSIfRoUttT4+Hvr87/63MKfpg1
q9WnS/arpCsTTjhpZRhH01HyjcLZbYOxyZlBQLOaJGIg5hObJaX5QIt6yq7AOIH0OWUYnoasci+w
B8ITtlXn1jdkp/bwvasUVICvxsPff9Z/v2s9cnMd9GxAxkgg/uWXNP2SKVk+JcCNTSK7MggJGY39
rt/9/Xn+/Un0TNYYFjfsjjwgv6ywiWFzUYwuOVVTpR/8ZI0jKbNKXPLOFY9/f65fl3NuT48dP+IK
8hoQkvwao7B4nejcOWU5r1piCb1w3CJzJXyFRwXVcR0F9UxBbw2z+m4UZXSg39//w4W1TLE+iX+9
XT0HaZ9J55QfmhblX5/UvK0NmyeDvM5hapeTym0W096fnfoUDbV+QOJmvomYpC/i0GkJLXVM/B7t
nhZYWGGKS0d89dkfhuUesa89bLomJVytIdgAbHZW6Cu7T2wsMCu/6NwJP0ZchV+9JddXXCxEZvlN
K1dNcob43ROXsTVZcNER21/EkMlHGdfmsccJeRNDjxi2Zp0Y8Mkn/bBEoTNscqaxdwV4odc8XMw3
TaDNFUEiznB/LsMPQppEfS6LBmV2ic/liKvZ7dARkLW3cVS71ggVmJpN2djuawwY5mc5FM7zRKeh
2czhuIZkwfT5yMfenbYFxPkYlmYaXzHzFmdXsLRY7Zi8DTGLN/tl8YHswrPxtFI2Mqsw2UVNiR8N
0Iale5hck2KoVOQNeQosZ5k26rvXTK33BfE89xtPf0TAZeVzehyoBnCujrUToof6rrFcbufMj65q
/duOKRA+dkELqUmmDgMD0rcnv3KWK++Z/GvTLNPd5+UN5dTv7DI2H2qniTNgxSqPT6EVSedsQ2S6
ZkA8AGDrOEWG8blagYa6tL1mhfJIk/pRVhl3ZGXOlhnkuaWPQ1Jz7RZwu13Qmmb8BPfZ/Ta0JvEG
NqHT9yvDZVWrc5wpTuIrpJho2zUqeWsJgy03YdsuEchKPyfjVfBSwB7tPHvl2Nobw+baFo6dvOV0
v/cW7oVXZrAGW1HRke8UkhT3ICamwDSZCKgzx2a+SxYUe1vlWsmPXPYsTVgQwYGZYKWc9T4sVsKe
N+BmCJaY4K+tni0KGKuo9L4cc+4lVfT6Gk1EDBIvkXTLpu9G/VAIA1XVSlzaDnGH2D7lCyCRSCcN
kocbbId9tn6NJ3ogIJy4e0XmzvdtiFfrOIDBJ4ayMp4kTpLVSe8u18jI03Pm5TtfM8VGCDvfkX/a
7AFQWeD2yGJoulAQj1q1D2zLk5PpteUFZZEbYCUiIdfuzKvllPo8NKY8OkqET1GviLdezfCyzK4L
ZyNZUqi7QqtDlpCc1RDcC8ckdb57+PtpZBfYpBbcRxlhcKYxa7pwth1YqFv3/oyrFFgOqF+uqv3V
T8a7JCqXc2r5+zjG5oNRq4IS7yBFMga8xcXk01zma+WZ1wagmHOAPWu2SeeiCaNz3SLIumK4v2tn
WFrIRWfS7zzCBH3b2YsmeZahLHZLV9uXHGqCSSBWUPfldMj8wgxo3q/eJ1MiDiWbOfHjL128vMGc
ea0Ho9ulRuFsF4kbxmYgezJM76VZLa3IX+s8WGaPt9pQ2z8Kxz1rEJfAGpPbWCZYbF35NI7hpSpV
9NIjGd7F7jKf47xgAXbXGqmwl1uZOM4V53TzYCV5dzZGaO9a0yJVzeKRel1Ae/Nh7Dd21L3jeKqP
i1XBByM3KgTOFjnp2arcytqERqRuBpHzgaqc9J/NuNj6WWjX2c9TDlK+H4nvwLvU3FEoufF2kquq
TJn5cwtH6Jl5/vS4VIL6oeoYxWzqUS/XTGlnB+VH7d2MyBpa4u1pziUDo8YvOClV9LWNzC+emKYv
alqWnaOHYbe+f3DpVDU9oaRuivuuZ2KueNIY56Auszd2BvGsXahFMg8lV1bKLpCmSliKygljTsgb
QUW+OtYpW5+B+29bUObtCVxjEEw8aB20tV3cdWb/VeWa3hoqtFu30dD+IoAb6baXMHjW3ED8QcRF
7ss0E/cmTKa9VEP0rU+j6eIM87ZPwumcToMJg4Be6A+HOU+4EcRtJVA4W+NUMmk4Y06BOmBPYK30
WHBjptQObBFy44HcOrUrlhbYMz4Zs8BENril99G7MxYvWVr2k10I9W2emEMcTBLQ8c9PeO2qgXqM
kKNjrbV/OxuNhNCIjMupqjow+kYd2UH7R3+2iNuqraF9r23P2zFVWs5N71xV4ZoEALZ0Q13fumH2
WFLClArnf+4/5GFDvmHohA6b/zRm3ha31pOREF1h9bl/5keFoCCwafISxixIxI37c9Zm96CgbJzm
puy2XgUQ2pPcAtjA6PgT0XaYoGfuJf4QmE2J+5xBDKHF1zkgCaz0FKaNfeUKJlsHslMzhtZhFIIb
2y+vkvZBEBa+fR81uTgifXFu/AgIRluT3xSKxiL6cKoOuanrfa4773VYKVQsNE0wdijgAq+vWkIg
YLEf4rG04YvQPd1EXQgBypyd28H0qjtTQ4rHjlvJTd2Rp7hbMqNyQaOM+SHPaCUTO0wTp2qiCyYj
rwK77eanxfCX957t+E3vTAPifwOou1P76E0Re/JOJ2GPrOJqFLfs2JHSoyNnA2BV59xaep6uvr5O
aZHf11L0d143z0enIZ81SHzvWMy6PU0eISWocAn0BuZ3TQf07G40Fm9ZibRoR2xU883F/rqXMs0+
fFFAka0VekXQA/SSSBD6qohqLjj0rm0qtDW+ID026EI9vprodSBnGB3BWTUtaF6uZk/gaAn4OoW8
Qg5DEtAd3vGLJ7ussH9Ohk+sCoBtLKe+0+3KKFquaNuqN2WV41nPKVIgn3cg6gR9IFo43KJK6+8t
c+ze0jZjzW5y3hosAm0WkSDpkiMgnntzKFX3E0M2A2SS/+b4IzagbvRJl5P05/Yl26Te+GhkXF5n
Udu3ySSGZ/CY45vbJt73aPCBqa14l5wJhfZQhQgMy6ogLK8oj4Z0lzNiRNC1hRy/LT1mMDMriLfx
RqA0abPK+pjZBlRRqIHtRW37vKGrYTchnt58dvhU/cxcLzWv7pTkuC4n3hnovJYiyIdBMkRk4Dhs
CIeZj1a4+mpbgDTb3rUrlrMFXLznpDYpScLGJuzPvEYsukPcl0hWgqjTxlOS+yZjRvDZNS+Fg2PW
/bnWyfCzZm+0SodyIqUKrkLrJT9Ce72V6SiZ11jVNnFVSEOP0nTCr4uwnVfDro0PG130Tfg5ySp1
Ss4Zh53d2X+2ymTc2INof4S1m1BOmn6APPWZwjjc9aEEN5M1X6TzNULQCM6T5TXMQ26q4qspSnNj
kqGixjnbpKrUAV6dPf4FMOsl5jScm8VmpjjZKtK9mXvTnvfYY29Kx60CwnXfCJVnDGuwT4Y00zPD
lWtUg2HvBzm9w5H0D+zl3aBBVLDP8OEHWSHPdleQ1JaM1qYQw96DKBigcTC2KuR2NtPZuiyC+Flt
YdnmwHE1eAd7abIN+d35AfrR/NhI4oHIuYyuaTl+GDUanEYjYZDjaJ8TGru7jm7WOWmX/OibtAfs
ecS+XLfDgWRa8y3rcXCyx+etQyF0hmXjwoxKmn0x9RiE+zm9yaz5kBGFsnEouAI21XLbT/PdhCgE
yOYsj6IlIcMsmAd2TQ2r3sOCSSl4PzNe3fR5imWk79771qh2tVHpgyWTFc7k/2gXkmTbpZaXvqZ3
wIzrBFcIFLTxmkh3X4XxQp3i34KvORdG830q9N2QhWe8e891G15ZcmkY4Ti8yFZ/pE301fL9L4q4
y5pqGkQvOWxmgsUGGuFG9YTkCROpQrtaYAxLPFdr+JpZ2W+zb1FYGRGLfGyfctn2W9829+lQI89V
E+ZT+bMYyYGxC7racD/YEUTTMHzTjv45w/iXyCoQRubJFCz+En0zcbCQKdB62RlxO8SvhRlTlTiM
w3djk7zM4wwXso9vRPNseuOAar7xd3GXPConio9q8gnObsbhxbBbbzcTYnAc2cPcDEMLJo+wKh7z
xTwLJ1EvsnNL1FYN0aNdPLWnpJG0R6d03U4oP54PFW5b5AZt5uLblPoGyqnR7uNi/iJs6f+G/RuI
pVHnNHQ2md955sEeUTpckIYSuAaWZEQNYbfr8ewmS1+hFMiJxgV6kFOEb9ZHm5qhjaSr6RLvYQIJ
3xNVgjc+ox46KmdQxm2PdzjZdgSHQ3v1aZrKbmLLScRg0A52+N2LsvCjCyUPIGdlxCAQCLeUImyk
trZXsS2KuO2HbcXyQp9pnWks1RB+H5Bv7EKjYY9RkY2cJnom8XhkC9yEy9UgxioA2mXs+qWR5m1q
iGTc9f7CtmNQLEtTlzoBSXzsTqxkHt9TbU93qVxgBlqZ3ltRm50RaYTfo8KgyR25yvpidaLfScE0
kn4XrhHmrlJc+3hct7x+Xy1BLOoOgvlI6ZAb0jzUltOeqO05NKE6BrwoNuhoF/GfKEuxvwLe9kPm
BXqOlvKPVNT6XrRA3LDYn+C4pujPq/ZkI50Jks4Jz04saApgnbt6g6JHsE5qPs831q7BrFy2zMkd
ZjZEXR3QbhUvn/+FfDZoQ5Jtf6VS/6CE0EegjfVrV0BhD+bWpkvgOdPdpCl7DDabzHp0KR/9jIuJ
m06QLtgzuF4bxQQAMkaZK287ZPwzL5KaaIEk9g+Gz0csEHycpe7LgyxE961Ker4AMbQFqpdZP3Q0
Xu5FklsvZKzyq5eZyWee5vbUinK+z2bqXU3cx1Fng77O9bL05PHxvciCDZ9qwbavGeO6CsSSNgdK
Nfb2w5Crdjtm4ZQRfENXhOYliwFBIIhPMUpW7ijIMQ8JzuX+N7Vx41dR/UrzLyExNqWj6OmL37Yd
EITc72nJYMyMN2Wkq30PI9i9QWhj3grU0pcq1UzItKB5Fers/HnfGUmp9yMTfMp/aE4A1fVD3Hc4
4Ucicvh8MSAQA2UlTRG2WQ/5sF6TfGDKZvFPfqv5tlIjl40mZbDmml3t0ioPQH96yEGlvipg0XdQ
JLxtVSV6L13ugJ4Rc7Lxx/WAeSofI9s3IMKPHr8Q4vee+fp2LpX5Upj8CfLc9qRQb6zgW66WJWdu
WMtRy3XkQDvcD74gTMgwX2JLII/IerIrk477PjYory3ynHgi1w0/cTXhh7Zcmkopd5OjOSiE8eqV
VmIJUbO0x+fexqToW1N4HuOweg1jcwZ4HfPoGDGPsOugURNTH57D2qpeM9XhmGhmwwGSOOYmkto8
tL6wOeAblvin1libKKMCRvF28MvEvmHf0n7r/fXyFkTnnIeKyzR2lf1lynowd+sDa3dZ/Fuhi/oV
yC6nnoduPBOsE556Wq4g0D2je9VQZCOTjlzf8Hd+S8wRi+/bILoxiC3C2Oq+/lmang9vJISVMrbh
2ez5dfo+5GFHXxaEw+LTsSj9Q9+ivIoquVwdWuDXuhjD7+2E0SvQUluXHOwjQiAZnkW+Rhn37HzE
tmQ5PJiOoPnBWNTbivUumGpac6IWtBSwMhOG5yF+2Uz+wF2itPkWmWkNIsEz4HjHNc901YpwW7E7
xR7D+ui7XCnQWcaTZkPwocKaL+z36z3YmmRkKVGHZxwYJCx74KpQ5wzelhgVtn2ejMd3T7JPJsnJ
ml868pR+zKPHFKqjIG9ppdYRYosSbbYN1PfG6sbyllTx4SkxJ++3enTDjwQ9zXkUsLpJ7uTN5CZT
s1+EWoDcwAM5jX4Tfk+lEOWmawF1bFVFg3ub10m1/N5+/j9z5z+YO+k/27Ti/7MK+Om9LN+77v39
z+7OP/7qX0IH67+kUCxDvzCloENZQIGwVlqKcYyHPPcPDTDxIzjjVxu9bWJrXA2c/+PtdP+LwRFZ
NyD0gLn6zHD+F+55pt6/9Ng9pizMolwTITAs11/HxAr0Ps4UUZ5Al3dWfSAAIEpHqoKJSFWE9vSj
1hnWdMPjTiRB1yxgztC/qihUx6Zwk00owq7Y2fhYbzvcY09zZmY7mZjlNorwiAdT6+yKSM4vBbCH
lRAhnFc/KvGI1WYeDL6Y2GRGhH+F6rehrHuAPl10EABQttLLmsAKIdNp3Q+HZTRJ4fPZOGw0rgJy
hpDY5eXqvMEe8eLWjfdaYhM8AcEnTS7hMe4UGa79aEL2SAB6tKF3LJckf7JjwCbwmV2QG44tKxbs
oaF4M/SZxdOHvGdL+RZ6qsY8WNTouYo2iq5Vu/TPWdp7N3OqzS+MJextmauHcbD8qwlkaOsVUfSD
sUJMctM66lbDiAOsoWubmu2hVWF5nBI3yFpneajqiozH0kaYa9Dn0cPIyoabNirxD1Vzdm9gy9iw
pcHIukzeLofvDcm0EY/tqrycGtcMiHFxb3zaJaeBXeMxNLR1drPYOMNdqncZSrYgNlK97VKzurJj
VvGu8YxV5z0NTyhi3R0WW3UThYU4uLVV7O2GNcvUnX6oR7u7qsQIN9lgP8m5mH8u2SB33UR2cqiy
7kFnIQdaJN2coZq3OJeWL26SqrchnEGBLz/Mghhsq3bS4zBG9sGx/fDrCGxpn6Yh6K8Elfl1WOz0
GokCvItXI7ic577YETWJr56i4tjJtt2zVwMYY67KMSEoYYnlhEHW+m80n6ePaFr8vTbL2QuasCgh
xDjug7tMpCQTQPuMITV99nhVvxrSYpdXEh98ZbIyXjyDwLCqMPmRadtiWYo8qms7JFFXZ945RLpz
51hjdc0n6xk0cU1L2nGbI7iA7GGuGnwcpTPeQUbyL26TyHlTY/mHdGUZhQLXMyQLtju0qhsfFi3I
l2GezpJKIuX97m/gTDj72K29AOQnu0Ri8YrjQspCUPJOo1foDoQs5zYeOvhXo71ln6a2nVXgjrXB
IRiGOPqCTW08lM21lfZrlRNieNMQZRdfgOd+k0mrvhSVIB3Ms4xTB6kgtA9576SZYpwzlf5PDdA0
2UXhou80W6v7brC94id6a0C4KJexUvbDs6hn5771Pu3Jeaae3LBLdz6Cjh1JGf6ZBHJ7TS5Y3c11
LOsv9e+m52Q1QNefXmj7d2O0+N0mDXKxUmfk4B4uakhJaHtZKLnuxeq0XluFuK6rKDS/w4zCjG2u
vuzm06Jtss/Hr43z23ooP23c2NHI4Em0v2GFQ3e52r3N1fj9aQH3mB59Qt8gfM5jntQbhEvpGypi
8kUY6ZjV2tOZCP/1BlrE40ArahMS6eBep6jwvxZLLV4zS1EIVyaB7Sew/xRXZTPN9yWq8d8WQHrZ
wQYkVh9JH2awNKLMBfFuQZTdlSLjlDqPWgl/1LSecDkywCBdGfozCP/kwNrHGfssJKjX9sl43RYk
ljt4O/2yulO/e3qW3x0+WT4Jk/oV50+kZhUBcijl3TzKeU9SDP808zHdsAvApy9p2D1R7tqXVpIC
A3irbdZZkT8dUiiDV0IJKOgTn+eecKStALMGWW5waP5adnwooUofKgTJ97SWQCITvEWssqgQp4n4
EtY1nJCpd2MgHcgs1tx7uG6I0KxNn0r77Kn2IIySKtLrU9avSCa7NqocY0+LHilvXoM0sjtNl20S
xkYaZXnL4BPB86jkbS+b8TseXXvZoE274K50NggQMNPObkSFyLgDP+GQ47ElL/xnszRvvKPaW9QM
cj+pkDw/eMEYjc3GfIyAzu5nEnufhRt1D65rhLwcyvyUR6q7q3rP2OcGLYGRKLmf5AEIqmxr2ykZ
nVg6w2PBoV4yZbEHx537fbSauSKiy66PTCPmi9JKAwuxPZIbZwDD05L+iG3HOiNKZ54Apwu7q4sk
36Tp1mOppPM/0gUhdkPfSxK/d2vt2uVl/axJBD0tchwOFsGKBzEWotmk1jQFujPGAKQHXh2m9+kW
T4Z3wVFX75hRCVy9mOsmzv84+67Y2BYp9PgV43vmMgiANZgvl34n20nf2zPKGHMk327M0qjdF7BZ
tMRHUhJeR8/ur5bS1jvmGVK0aL/tMlKnjoDdHIKZOZ/Nvg/FShftUwS3O5p8+W1mTs1XMpSa69D2
7b0Qln+DwK8MdFzSBYvnhESNeLxFr6ADAVdtzRr+0XhucrPgRfnGHMO8DUPL5yCdpBIoiJgfKJaD
qnDM226Oix7QifDuRarmg2/L9tVT5M93MtuS6dI/tJ2YMesWoCAKv/MfMhnri4UH5G3qIqbVdFh3
2VKZp9iMvoVtCaG1pOmalwpourE4u4Skdm9jWgb46dDcuW1UX0WSmBcH0UW+vv2bLXureksYEXDq
2eqfDZv04+2AArnbuGre+Qb+7W6cJd1TYYKx9UlJZwds00WHIUg6CGQ3K+JoVPhM+pjhsNVB6JSI
V3v2qCncGBSzIuqFtxumccCAo1xi9ei0qRfxymNGGcVPncTs9Lvk5v/q+3+o71FhuUh2/nN9f31N
yr/U9n/8xR+1vQRm5SBsl46N/of9JfqgP0TMyiJVgf4QFBbeDt6at/Avix9xhcJDyKPguHqY+SjK
/4WMRd7MXoHbA8Mggh/kzf+L8p5T/EVAg1qIgRjHYctAlS9/0XstlMoOmfUohEOsCjuxXEG2/elq
/LNml7UdEbcgaoodCRuVT3jMnwgsSMTW5q+vsZ44BMN4G4JON57kkv7PNf//OMv6Rf90FhiU8yxi
zqLKH53xo5rfe/EPkuB/v1Z//SK/aEdVUrmM5jjFoB+U+bAk20a//f23oJhcj/JnSZPnAXRwEXHZ
3BmW9auovMsNghbGpj3ybmx/Vsg7px0bfntH31ofRUjSBGgsuiP5QAuuM4f93DnzDt6lhUFinA5J
3bZf7Vg7FmlMHS+CXj2QUzaKLb3m6cZvZUL3vzW3Tj+PJOCF4SMGcLqrqhjSp2UdlatUpZdOjshn
KoaBXg2j3+vImLDG40D1CpcjJhoO/ek2w3B0zesa02UzVBvKyYqBAY682MzVxQS1g/4LNukmFkt8
NRtD0p/JwYiYCB9iQ4B0j4phBuJPkBm8l+FmIFvqmQyZfBvXMdHLqvkp7UKhJSzIejaakRevLg6u
3d24md0/z+XiPkyg2A4GM+ldxVJIGxOAZT5Y7r7LPMzfc21dPSZ4OxxrM6XxPH5xVM9BaPjcKJ0u
u0rjo0LP0FnXkHiRY8XLMIiqIX4I03H66fcA9EftkAcuw1kFagSLYyT6fSpl+BLXKLW3BWKgZ8SH
woFnb7237WzkATK5/sNo3HXbkub9V99OvBiZde8+jCOvALVeYFTa14oxXL9Bd0WkxiIkTIywJ9qL
OSYGGsJGQqx1cH6JtGYk2yvs96lxm0bue4/Hky1WP/yW6vnZ1fa7Dzv5+2wD/HQHI3nBF0vI+YKw
Y9PGjXUoJ/d97XhTCU+NPqaNOW9SxHszYwGSCgeT4xVsaYlmUtm58EX3NTFIuyL9Wl0KSnw6blO4
c0QLGQg7PpBQUtQj9jlbzE/tHqSIeYDlohn6ShkFPoHjO29eTBrtuRedBaKcI8MSTmBrGTRN2h8I
Hs0oltLxMav08NgDvGSW5ONayiDeP+QRcAPSqLOzh1UE9ks17EaUoXeez+XcNI4Vbgu0Glts0eq2
x4KanlJkWHv25dBJZ0j9YTC0dDthwUSI7ygw0xJ78YYoA3Fn51ZKlR2ZB8ttw7dQCTBQs22Et/bk
oyHJYiRrK+iDnDsG+XdLzK5+iRYZ4B1zz0vdNjeNsQ4vsEWepF/L+9BwjANcCudeWUV0M7mCjO6G
/ifgEOgLYjSPiO6kfWpaXtvDMEMshRYYvvUoDIEYTVW/cYzBOFTIvT7cNPM+GF/3QQfT/9LCIH+L
fZPN1dC45IiQcLczut5H7+Gv1yOkjthaev4tR4uVBpQc+S6O0CJi3V2OBTm4N6RWuU/MBjQ2Lg/s
pmMI60DJRFEOFefFs8MRDo2IH8yiMY8j6FK5dYeZtr1KRoQYqBh+Whl45qYYiluC8KbX1nHKazlE
/h2kGueJJj+aMWg+xm5uLHGZ7Gi5d0YGP1HdevfkX5WvSyymh3bBEjyncX87d428sWba5ZiZxSWr
mbJYjRgDYJ/ysabK3/aIv4900L0xEKbNCRprXbxym0SxVpuq3BDswd61lFJs0fdWAK8m88PFk1xs
YurjxwYO4m9Cy+5ojSxCmVF0B24NxIkkD+3rpe4OfcXObtvVSUcsbAwJxHQbnM0SYEtcNfGTpqMb
baIRhzcPTSy3qQ/GEcmgPvNpoyfbqvR5yZYGSxtD/FyESROksiTvXBSpf6J/J/YAMySKv8g/ic5n
BsKsAC7qCt6Ks4TKTrJJD1ABMMbyzX5nLm17+n1qFDfesoc/YVAIDyEWdpLrA5L5uA5zpeeNzRTk
vszb5g38a88yNmYPeeUiaMHmG/SsAj/I/cNbOSp1JMpgfIf7qPc2qvLL50xkqpIcFyki6tcuq6w3
+EwICnN68x+djwJ26QicwBTAQGsdodilFLDKmX2gCi8YNgu1TrlwLHUeupXRy2g3cw9/xv94FMjR
qrxaT4m2j8kpU9YxoMtDb97J18F51nff1Nx3W3rb/FeXFuQuAaR0/RzX2V1kf0H1QWvbjauvY1IU
h94fygMTt3CXaMsE7rYyjxtkCua8NvOr4RUcXn/yFB1DGECp2HphZh4hyWQsnu146yMqYRoVwyxu
LT+5ygyAj2X0BBGihpuPFdode+PVlnNqSfmI0DSMxRm6Or1+Vcl+WDUw+tiXNR/YnKU++ngOHy1g
VS+fSkxskAwHPu1aovbKg5okwwldD5wWwG14njW9JatlYAX6w3ginRPLhjHz03sOFNBKMeYccif+
7XPik63TqKKV4hJCLWcI0WFTaiJoNg2tHBppoj3hN86+Tj6Ur7JsmDM20tgJQm3QODE5jD7nw+vL
Dk86HDY2TveTZJpLQ8sPKh+5VczM+N4hd/XVKhoCaWtucHAy2VlzRweYNIBFu2b5nvIOP6Hr7J66
TOqv3EjRvYyN6K5PB59AVmRa0sUclrR1efBaR770FKT9ZkjskNTpMlp+n+zYoTHf932mH7Rhju9j
GRrPxRpZqfsex7FnyD9+p6yfw4/F5MPOrjPtTRqTt8w7jacInvA9GCSUQ7TFdoaYk+/l0HkPfjWS
dQva4ZszLO63sTXcb6mol1veVHIfN7GxXZLEoEXpohEgS/mqI6P9QnhgubNbiKhkcs23n1e9F7Rg
qs7z7uw1fqYsK158XXoRLRrJpgIPWg6AqipuxP1MJspFoZHalT5e8mLpnV1NQBLjYJMI51D5y3lg
TnYXemvnCNBRFnzey9qzUPEbLh0vdigXTSDIrerKcIdMCYYFGHkyUkSZ3ZlNWpwkypEXPwRO1odY
Z4iJ4WVI55efX2NIzLqKiSKMJihjvlMEGBFilkBrHTsiac6W+ZZFYaHhHpZ3qtV6m1SC8BEUrctX
UpQFCdsaVL8GA81QPSOeEpw+nWaV3jn0kveDw3DbHQo0ApOGB6gmdANtPd81quPVTfgk3PymYvQ4
60JlW5tGO+GRFkmbvJvGk98iQ9yEbofArc9LKyhVWT3RMoYuwoJDDYTg6wLusr9rkAUga5AjrkcG
tMtEDmGDRnyPnc9YiBQrjafONJmgecVIxeySRpGPTPnNqOPR7EWdQsNbvVfe2KDoqUemjFaZfzWR
UuyKmsmz4yfW26fY2S0QsLrTZL4R78OAdE4qZ2O4qycAVeguwf111oguH9pMqbOc8Ed7/dIC97cZ
hTrLiBC+8CUkoH5EqQ/+wdEPpkTuRJ84ZzZMB3l+co0m6umOxuPN0BtQ6Pmv96kDvYnMsSY8dsRd
HRLT0SfIE/IwNclh/UZ3Kp5tmggivrV0YnfBkBSP9pzRGPWQJOo6Ng69qHqiU8Vi/1jKxUt5NzSP
MMUxw2SJcUERdz9AtoQ2gc5oSo13r4Hva7nlizMgdcvpQd3wNTJwARUrp4i6du957YQvn3Z9GKIL
I4u1vyDub7F/NKbaUSHGCNEEDIV4ubeZNdLMlMVPVRo/menfzXbn7O15Kta6rTl5MfE8SidPUxXr
oPWM6MhqdeBCjAGGM4ZE6HTRuXkvRomrFTpwhfqua0KM22uIiYOgyPR6NLSCWUWuar4vRDaXqsqW
ZL7WSADr8FqXcRRkhGMxecpxblUOTTSt0/hHNIzimIFSJr16mMcdcIHqscb3qqGzYXjYFHZ8iVNZ
35dlVr8YUVZueKsXMLJqxHZ0Ix8Vzvh5y3QiO/03e+fRJCmWbtu/cq3nlAEHOeiJ44LwkB4yMydY
pEJrcYBf/xZZVc8yPPyG3+pxD7qsS0QSwOGI79t77X6Y5r1OeXdHOFfvK1FqIvwLa+POcJr5Lgmt
5qECxL9B4Wuj7xubfG3NlrUZ7SbwgiaKdhkRctuhTjmSq1m8h8A5IaDp6q9uM+dwIBSBbiMz3WYt
y1BIJGD9mKaXbfGV7b32GdiDc625fad6jW6WoGkSsAV62cu7YJ7Ki25CRZIoUbvtHOrZek57A22S
gviqaXiLayhkX43IqBcwwDzdAklIDoXZlVu6Fc1nq2F/RXkr0m8mx+0+A+609ymsvpdgstVgVZMM
86wuK6Sl5dTSIyfyx6LoL6PYMa6jvO1eYEyaPsh9uc/McLiUypR+64wEKXGk8XLLvgvuBrvKv+ct
qSaDpRmviKVKAHPwQfcadOOrpkMuY+EHRswwFAZn3RZ+x6R0xpMo7HyDfldDpwLd7aZUph/pYDuf
9NIuEO3OjheG2bzFjJF4yZBP4EKjGalUBLdi1SsjcPCpYSZLssQnSD5bVZat8npZbfcTpwpsYmJe
Sc1Zh21F4yzOH5UM3VkBDiFkll9RuHHWhYsuLdWqF4gqgoxXdBuoQu0asCM7413pWvljmeblVTdn
+kXToNBkP5+jf4ZTl1ZOT5p8KxX6PYZuKT+mLkMRLgmX0HrLee4UogQ5dzo7TjFypStx8ITaobti
Uczu2Comr6MmyqekTutPVV+N9q5S6Iis4qCGdjOUS7AVYXQ6h6muOICGkoX3S4OQ0iYagO3JZD/o
/Y9QOmj0KO9cja5TXAp2tt+KigCribigNW3Jm7kcoHS2Qsl2HZYCD9VXeZUOpJZjj6q6G1S64U3C
ZmiVGFnSbhzHpBcVWvhPGqIz+P6/E1EBcpA1zV31EOhQQ3bznjiu/i5VKTIYmIefx6YVLFwAwinM
Boe2EuVXoVRfDPAuX3A9PMw9fo2tja5irSCp2CX1zMxeKcLjUyMr3LXpE+H/aO5NNVvQG8QIW1Gv
budhICudEQ//sDR2ESD2Kz0lm3CVNj38baK8/CTRw69ITIg5ZiZcmUIBOhuO9iNHHdYTHEhfgpzA
typ0X4zRkJdqpek7/hRIU2PdPRix8d3OnOZ2KLsJ13owbIcUcTvPbUquXXLLd0Nj88SIxdgB3R0b
6is8FBHYL/YQGY/xAKEi6WM+2MYFWViwp5oiy92a5FLTNNDvOIM8MyGnt2M1W/saC8mqk521qbIi
eC3ddPYyhC++UovkxiLFEvyKwilGb9jdwkmuvXCQxX0BKZYdrnLI87y76JwpPwRgt+7sWqXdTuPm
BriJ+KmFBKWUiaS+38fhPiC/57Ywx+gqM1PzwaiwLuBUmolo+pwUYGIjmD050+1mqCiRz92oHoKg
p8wvcQ2WXVrSuxfZQ8eMu+qXLoLrDuquyfrHsCeUbrRVay/Cctp1svkSQY7ykzBixWIjSOq5rfi5
AA7FVs7eSwNRNjX9lP1vWfzsu2SI11lXfRWY+z63dCtpiIY4yb6WapKol1rVB8BbgmRNtUQy2Fr9
sdeVcfIUVzfdmzhrQt0rixoMimhK8EV1Mc4czaIG+ezUZI9F7hLNbU7uLooXty4lrEdaVz9oVMMv
g9GO3lQ0e3WW32yTU4OZ6bnHpopDUo1ieNaQx+Wxqy1hTb6C8HzP929+snPrGbEAEumAlCh2hdma
cse3Vo9RaqpTgIyZ9XWS0u9H69XmCILm4Mps1AN7KIvKGWUipXe0b4abyUujNMXGqgWFlJTApZCe
zeAqwc/IEuYdWQf6oR3dn/VoKM8hn96TrttNtDYh6KB/a8Zg3aJSIT/WLHeqO/Zgh+tibXUhmYSY
Ds8Ykd9XQQF02KblGo6rLZ2Pt+VcC8hsMShO40uD+t2gUIyLq5IxWe84j+dnnKTvKrtoXAACaJh0
oatbxyZ2ezRH9kl2409liAgTH+QqzunXZGGVrT+u8J66FDiJRZujm3AzjhyramtVlB81bixywscx
MVgykkG7RoKSnrHmH1vIiXaGXAGWAzq8yxWPnqGWmmCGBJcqmqK/SrMu9a0mYcvJ4F3V4ZjviI6Z
/mmRnIvqmtAEdTho7McXNeOAMIsybv0p5SnqeE1WVkPJjjOpceb+jm36y/3xQdPCsMGBGNbRo0yZ
/OeqUho/nyIRrLJASZjcnOQi1alokuhY09zUqCBmc3TdZ+N45vrHxu5f1xekZUOaWXo0x72T0Kgi
NQ1b38kVCvAFN2jV8unj8bLcxNt2gO4KnYG5cCuwXOtvP4RRY7noXL3xO6hy1AwidhGhLYKbTFdn
f54I5Bp64p7Khk3yx5c+NX5QNpmgdGjeaEsX7PeWimsaoxbqAkihTCc8JiZKqGQpBNuKitwJLT2Y
xIhQ+I8ve+rTF4bK3pw3C/910aP91skRrWuVdsxl7TrJ9lo+PBFRNfuhxah1bcbvx5c79UECAsI7
j/rO0cTRAw6RPGjo/blc25mPtV7vOPxDWibQ7sws8840vwwYIhd0gxM4E416/ECRqP35Lq25l9/a
X2NzCvrvY8fYVIi7xg+Nnt1yZvU1CpZiEmis/2DQogm0bMsQMGbefTS26Ga8vg2+29A4mMCwr9E0
1Weucuqh8gqX9pVK4/OYnmPgOe+NnKnn1ywwEI/rGe40kn6XVGfe36mv0EAYjHSSqjwQkrfDBUJo
QYiBZEKVNVB2WX6xnPLLx2Pk3DWOZtLYJF2FhbrxMUmSJd/sDCc/R7RYXv7xh874g/7PUDTBwb69
D9dNoMvpXeNX7F2vw17V9zpBRCTHy/hTpDDDYEFQicimzQLAWL0A0HFuRnv/6QmgQ7RQ+P5cShdH
M5phVtiDSpcQSI1Yuo5YAU9qaX2VKQlCoMot1v/0uXI9ILou+yhYS8ffXs2xypkw9ft5MbJBsaYD
yQD2ma3E+7GIQndJRqG0q2OEO/rA3VDrSErOap/wNFIbqjL28Axf2Qm9jI9v58SVFp2uaUO5hltg
Hw0Tt43jeZqc0mdqw5WgtJdish+rJnn++DonXpNmI/zVeFfMXMYycf82Q1pVngq3sUt/jlWYp6+K
k3lJWiyGiv3HV3ofn+KQ1fLbpY7WWGpU1uLMBgUwuBTuCyNc5dL+M18d5MJQzE8TWYc7kMRBs64N
5C4qwVOfLY6sm27Wu01C93ent5TR8kZQAM8NDB2mk1T7TowYSWU0XwcZ50CjLgRmMLpFnKsgq+pd
0u3tIRtvZNlTwZ7g8niU2dCTIpA8c6NEih1/fqzg9PVUPgANb/rR50d0oyLcoueZtlH34uaFeqMN
zv1kWfFrPvfEzGUZ/dMMpwEsq62dTkvwvHVh4fuPTTqzWl2liOOe8oCDUWdF2Hjz+0o613NAYSkv
03rTYgJd1TEpsEGTCESqssSDMRDqqSRK741Gafj0tuW66xzd4zoJWknFvkoNtAxJCoEchmW0dhFs
zXY4rg0mGJenpcN/hz6rfrUD7Agfj4ATY02H14WCgzWLLf/RWAvyoWb3MfFcEkJNB80VF7z10Q+T
BhPsGAjpf3zB9xseIUAQGSYOfQh9xxsePMfDIKu89F2nI/IiLvNNDRn9yhJVtwsQOV1FlF4fiS4J
Lz++8onPl92cukQloVl5d+ZowmlQot4qoINM06fBIs67pt/zCIgq+fHxpU7cJAIPZiNqHfzveOtI
X5Tz5tQXKAcbuiIYthvKtUSIYiVvLqw2jR2vpcE+LfBe959PU+yrhEUvfMmNOkZL2US7U3YqCr8N
YNTWsngMF5aTk0zNP94G4BrgewLQw/EKIPnbiYoaUBsChsl8kAIv01TIte5A9G4yIf7xMGW7gWAK
YRSnj3c8qIoIoT4c+gxdQS8huFJ4FcmtlKa1pfD0/eO3936gGKrgxnTNgLBmHi9b6POqwshqbsvM
ha9UU1HSQ6Sn02YCku3HF3v/AXIxtjZsDUwa2sfLV402JLL6nDtTjMdIKC/gJ74no3gMpXVmD7J8
y2+3IFyKY6nFrTHn/6It/baukLIcT4WCEAPsyEZQK3VLM1vZ2TATG4NbP9PP7UZPX9FlK+ouArhj
b4liVLYDcCj1a23Yp8hLywn9M/Re3HxWhmpdv/r4aZ56dWy8lzhIoHV0e9+OSBOaInQdO/WVvt+D
BvcNIyWyWj1zmfcbRkM1IVIBLrXZfRwXFAZHHeOYP9onNXwBPpHaUY2siB/fzPtZhKtgAiJ/TFeh
qR+tWTjgR3KhtdRvBBUtKj14xvqfdmEdkrqjoe7MnpjKM7PkkgX6bpQsEwf+VRPy2jHPDOUtDl9g
+xgL4FRJrDCsdVWKjdSlSz8XNLHbiTCyFUAMfDnkYlW0vVR71411eJHRR94Snv04T2Z9j9EOelhV
sTlYtgXYG8xLZHHWk6sDcYP4YZ757U++GMB+jDgNJsDxi0GSEGV0NjKf6nSBwNpN9spInfPjF3Ny
lKGrpKREssO7LWdu1CwjYZn5yP+JBykHX021R8fuzu1aTr0K12JvyzxkcYY9Gs12hr67LpiIxgoZ
thJEF6OljtuP7+bUDESSBGU4wlMpdizP9LdpATS8Poa9kiIewrE+2CxTAD7wzLbZV/y4/3wXzZkR
mShLxsJAPT6hwrayiDTiE53S4Pvy7JrYOuRN8PLxXZ36eJZUQBtJLgeD42E8tmmhzSUfTxajGk8n
jRZbYOLVQNXehKbzTWJAuKBa2J5Zqk7NeQhJDfbVVMreHXoonaqRMIbUD0nm6goFh3S4rZLnKpkf
+BDPXO3UgOfYozPYFyvg8dMEdoaEFD2/X4VVusuxIR6kDnXl44f5jscI31TlIdrEOGATRL70doy4
vT72JiV3jE9SfY5hhG8VFMd42sSQ0Zuz5VOiOaXXl91wW09FemNmNhkZDprOGUgFjWXSqrUahhSG
FPQYfZ+cO91qJ5+8zQmbLxNW8fHGpwla1ZR5zmozGrQJuvpV69zSQ1XWXsS289KPVCfw89HEKET8
nMqhvQjc8kuEomO2FrqKzI0Lqkj4iCalIhOO+/j4QZ741uhpswW1bYEv43hBzGx+h3hkuy2L+Xs1
a91WrRBTBhn6len142udeBzaL40xhjgKxMfbGB26nEqOLVv7QPuuUnDAZ6W+EphR+LZbLHniVndm
h3HioyNGRLPY0bBivdtiD002jXh8uL3E/BTFIbQ9VDv0MZoZk+VUP9WNrNeoMQb/n98rDGJ3qUix
QTyeKY0lUqNx2tLnrHYDw6OhKp0dqMaHkGvC58nBTPfxFU+9SbZslAGwR7pMZW+/CL4VIC9GXfqK
GtbepA2oEgrRHSRQMz+3OEh/fL0Taw43yB5KsLCxWTz6AvOgMaK45NGOQ0jnwmjkWq3Lei1QxP4n
l3KhWzkWG0ZwvG9vrbKNuMsLjmiaWxZ3JA5CY7E76zLuNe3M9HVqjAo+qMWHsFT69beXGpDEFaQC
cVbJ+0eofT9Ms34koLhZxWF9cIBW/ePDERMYpgsd0DDtk+MPUBvptWE6K/xZn9H42fK+ITyiog5w
5kInJmZK6nCGBZVnbBzL+/xtVa1maBxqwBEwC82XcBx3zlw/nhkSgj/jaEP/5hpHY8JVkjQxyDTw
EfRrK+LLqj0ISvNe70kZCTLZ8hRV0AeyqdatlYRPpWwIeTPp1fbkl1H861FDFjGdXmNEASc0DSAb
tKNYdM0eX3F00N2QULMJAkNQqcUOsx1t6dSZPGSwwUVkOjQp1BEYibbQSol00+5nN0dsVWjw8sq8
bXbqQFI5B6gxvCW1jN1hucCfCMW8jUY72mlNO11kJhLNQUT59aA0g++k7mNcpq3HE063ObWiZhUh
FPQRJ5IMLudqE/SRiVg4JU3GEDEU06Tffvx4T41NVnF8nXQOlxSCt28QtGHdTRZjE5nwaz12r05U
3Rr4F0VeLvb48j/47Nhzs9mjfE9D6Oh6ZjQVtQinwie3cqk53Ug9vZBdcWbz+r6ttiQa6ILCHzUC
yz26jDGmkWhGt/ARkR+qKm7QDDrf6vSJJvQ1ghSvN3VyiYozRyZx+rpUaXmiHK6PN2RuBea2gjPg
5+U0EzVEEr3TGMoBo4uabdDMcMapzRzeWDrU64xkZprbBRN5TfiUicrfTKRyIdRe2WqdUXgBwlAG
XLWj30kH202+mhi1V3JECghyMly7nWZRe7HndagFD3oKp8uZzXoF2cTAnDuD30j4fUC7VT/wfGh3
ya8kxxHEBo4u/nk+m17UdsnGhk32jCv+3Ks4NadbBEzY+BWZKLTlkf02R8Rqa+ZFOhQ+gOCJ7tJq
kuou1brhzMg6NRf9dp3jjdFQDXlW4vX2HXOJDaTe4JFrvfn4czm1IFp4tOkr0G+DXPH2ZtRar8oa
LKtP0wln44IkUQlZTYmfjdrpjOns5MWoV3JmcXG3HW97rYbJqMj4VpTIIkkbMBo0zy0KULTUXXzm
8Z2aCCzK/qwWWPbebX6zaRJWgorKb5LmAPAY62gwvRDd9qOL0SxE1pknqZ0aF0vPmwMsEgL7uE8z
t1XG82WflowZtMBZJ81sbuSFTi1+jYM68iFdQHSqXHEfq0HkTyGmhrCMi2sndNKtWxrTk40lCHtG
EIKk/fhNn/z1mBApI1G/pX399k3LMWiVNGKbI+vqh3DD50gfHjKBjuQ/uI5N8hY7SmuxzL29Tjso
U1Shx/M5iVZUcwhjnBS5LvvmzEJ6atu6RFdQYln+Yh99h0K6ODjQXvodnpGoReIqi0NTmqSiardZ
WT/mmXumUHFqAP92yeMNazIbZA2aau4rctyRWfyDHC/E7da+KYczZw5xavxyIl1iKojToZb09jl2
S7LvPNo504w+femi6ifMb8sDdel4lG/Jy4P/5cEmKDZxvXgNFG1RZjaI/kCXvhgUVV6CGmptr+NY
wNWGzyjqGmz1LvEeRZaRvN4629GWzrNjMmsCrCX8K1fakdz3pbRZ6j9VqWNngXc2VuqXpOxvkOJU
G6Juf8TOQKTYJOJNn0/6Q4XomsVeN8+MplNPwV2cupQ4GLfHDdgsq9q2wJ/gz0Qnzt0MpkA1XoBD
XVIzfeniSZ654KlXvDizEMrYFFuPH3uVaOFUsxnyY9IQ0cX1TbX9RR8TIfDMVbto0j/+YH5pJ442
hChmdG6Qz4Vj5tGbDpUpo0ua5b6Vz64Xyd56MCJt8AqC3i6jMsue4R3DGTNQTv6yCzgRqLW8n4HP
IunbwfxBuf7xL3XiubPZWCzQhD9xnDg6KLnW5MA5FJkPGt7YRM0EeCJi2zglZftCauXso4v8+vE1
tRNFTFQJVH2WWdt+d/YNR3OugoEvup0DpKxL2CeCVLFtg6bdkakiVowUlJMmmPOwIWSSngzOC+Nc
1Ig4MVcuvnDkGNCfaLTpb789nPyhlXdxjm85AZP4y9cQC9B2aKsL85InY18QHGleYrGCQpxRRAYd
Qx8VXuBwJ4VUtxPhmZ+iX/lR3ax+Yltc7CLJkMIxlW4R9Zk7JPk/JsTYTNnDxrCSaINW2Fg3StH5
kVXbG2gm9toJL/UyFQ9kuo63fLaY0CY+hJfI6d19ptqfVaC/Zw7mp+6fDhgedHvp0B8Xjii3JVnb
Ce4/S8cHYgjQolpj/AIgJ9p+/NJPXQrhNVoD3OgsG0cbEJpO5A0tyxIhA9EaFNTi5hurdO9GWfjy
8bV+vbfjL22p/gpOryyDx8f/QrGyXuYxh4MB2Oaqo2GM2Ws2tF1QlQMZCpl2qZVqcNeNurzRdSU8
6J0Cl1Bk1a4qwDX++oX+i284g2/g49I5Fv9/lMD6tXv9nx+/EuxuXvMf//7XHXg2alrDaxFTP/vz
31x8//e//vrBvygOtvEHJyEErnyqzNm/UGx/URwc9Q9oJdSWmFgxiIplKPyNcdD/4B9ZVLGhuVBh
M9k4/IVxEO4fDHiqQIR/QF5Ae/ZPMA5/lqvfjDda5nSvl86dTfHneHed5aIFwahOvmkX6bTuNYLp
MBpIcQN3iJx0V0804ZEs2eRbROEkmOotflJjgb9uZ8puiRdlKgOwbrsMVIBrWmSH0ypeNy4ely6A
SWxNl/mkqWsj7kdtNRN4AlxZaQkw0CaDpmsGqlARLUBcm5ouqPsIMeimSaJ5p2h6+cxBvtkDFMWu
RDmZU9M8PwW6IuKVkUEda1wV5E9U5vVDmDYjp57arZ21Nqo2NXJhAZ7XSk4LJbOIXKmVC66/R5fc
R4UfYyD6oWha+E2Se3M98jOfzIkQA2DErnEV5RkcMs1uVXIyBGhXHA2hvikVad65TphdDsJNbuMy
6q4H2So7LUhmrFkw21cUrEf2e0FK7ApKXQz9BAiPo+xXSoPCPstzF11iFRCGkJniiTQz4WmKDXGu
1yN1X1hhvymY/n0dd+ZGd3nyeAG0PaD+/K4joAbj75wf1Dkr7xKqLrdRAPSPXRSxuhzTMck7JHWk
MrK3yGHhrTdOfl3YhPttJtvCY9GkFdigwlRfqFV0V0CmP7Vm2D3QrQH+7kDGQBanJGG1ynsn3RUN
9pwxS3XMBMLZ5fBvR/g/QXBtlCkINaGmHuqA+do0h/betrCSbSwrMPeCgNWfLYTdDcq+e3u4g3dQ
rFtp1BDm1Tuj7zF6gQYVN5rS9p+1qQqfmlyMt0ObmJ6bWzjUnc4D4waxLgK+wCqT7d2sCa5c4qUO
ptoZ16mhv8TSgCtRqimg737aFnUYPEy9WW8sxeRMgbFXLbXOS9MkuQ/IELntldZeB5guLkKr3KWJ
cHClgkTC2wF4H5jWAnAtAz9xAxNmeA74XspvWuAq29Kg3rdik6PdM8jDFdz7+gLmVA6QyyWE1TEJ
2UBIubYK81Ay2jy2MZfM29Eqd2prjYvq05yT1sz+WdlGyFkByTv8lm1kemEfBiut1+J9NkTKJ7Zk
4UWVRfW9CTDjeiJLYW87bb3GizVhOh4Hj7JtdCOGmnHDsJWr0Zr0XTVFwaovonidqEaQepXVmxvS
psb7SXbmaghjowTcZORTqD05QTbGWwy9knQTU5sNq18nMgoj516iqge6QAiB0z/oemrKB7Nlh2Ss
IMRF2rNmMBY2qpnEEDxU+9A5URC9jMZM2hmAvExsC7fEspxZMS5HbYhvwBfpLy4uCxWjIEFCXhOI
qNkYWqmYn2gHF8mFLPWoWmXlnHA3CY7UYteUlPAeBhrk8qFL4x74fhgqibhJhToknzF/N3Oxngdi
FAgGNFvdo0Hkzuuh1UdmNuwm4edci0NEb6BjeT9KmTM8ZTmpm3GaNTh50Ka5fYc+c7jOkoJAizqH
wRb6U+cYn6HYyu6bnbpaan3mGbn9ACykK/dxVwiTpJAgRZuGAT9IL4AiAmJZRSqetMci7S2o6TWq
aSIuGz3gw9LGzX9X6v9LYiyNGffDlfo2zV6Z/d+u0n/+0F+rNKmwGNXIuv97uWWL99cqjRHwD5rJ
ls2cuQh3lgXyb5aqvfybRa/JXoFN498rtPiDWhVbRQ5LrNOm7fyTFZo6LTv531ZojX4JJxxUJ/wG
1EaOzznNkDrFaGn13uiUcS2MbAvUvKNY3DkHMyoiKINuyFDr2mg2N7jweuUp6szkO0c2vWxXo0KE
CUklORQGUDeKaB5JIs8uiTaIk7uO5KMvQxPbnyFbFPtIY1HrZKKz/qUIM1UyC/f6yCpmpS7Z1ENS
XCVVrZSfCzDf18NEWtqOxX1HgBPG6jnSq20+yMb9PMT0R31HXdyhXT1ZnwY59s7dBM4VmnAcXSV6
2RkbYQ3oHt2wcuLXoVOiTz0xM7lfNiVqyYoUeeuqM8Gbh1sly1XD61VoJyNiUhAd8gZNBhuvrVNn
c3UDkJvbjca2wWpQTIkRUHexqElv8rJeUgWLRauYrch9Y69Par2dBzeOPgdQHIOM51mv4gmkY+0F
CFjkuh8GWyOZJtDUb1LSPJo3aRSbUl2l8CVn+nJJybSa982Mf9zqC0h5BVEROXnWrgFpjdMolJW1
mYAV91ILDzHBQGGlI1JYOUnP3PZ9DqapNbHu5+FkrgdKbcaKut0QYgEcg+aGcC7lQpXkakMZDIDT
4oSXg9GskjYqgAgqw45yh/6QKlYfr8A6zaS4FPKggXPcApSZXu0qSTcy6wmESqcIf35bbwcnT69I
eRdAzI38oixB4KbFUHeYcEmmyYasv3CG0bP7iC5JDqdAWFF4Szu4wNqbjWvakCnZ3aZYJVZYchh2
g0OTy/wlKJQOgWsABWRWhuoW2MRTWubhQYR1eyejwT6Q2j58jnJnXIeuFuybKhoPjIdyOw1l/JyR
O0ewQTkR9E5In0egAwhvmylTarF948K8f45ghvpjZCm3yhiM3aptFHc72I24Cqwg2yGKjee1ZoMn
eOa0ZsK5zayn2tKKh3YaU/aeQUTzyUxqMRIt1tijR+dgvigayLxQuGEO9zQIL+Q4NzuZ0eZlpRKX
7gzKe6VVpnwk0QisiUPcBd6/tMl+gjxEdibsmVUgRCIJHrfEFa7p5l0Tz/ZFI83HpIawmvSGWBli
tK+WfQ6+mHjOllS4frjt0XVcaiPxaVSaeliXE++6J1L0EGVWwSZ4LHZDYFdfpR69aMBovC5znD1v
mgSxShgwnipUw1M2HnCoRvvCGJvHUBPzp17MsPVdOerfkrJRL5W5QA1d1wIxA3EBW8wVPxbit6+Z
ar2JYPvwBu2EfAGn/6RaSfYypXP8ImQXm55ZO+lLrRTuWqZ8YZbS0Ymj17VxaVxvY3JDZJlYHunS
2S5pxHRbUI/Yy7F1iQWZ0oStPvE5txrGXngv+OhXpKrGd0WQjHs4uGPjlbDkGcVQTGkDjtkq7hRY
CkoNbEv2lScDNq88l25lE0PhhYrqVWYr9yWJmWvqUfqzYSvitlOap3huHpJKsb9D00j1lYo1FBSB
FLbp6Wx+H+0mMS5zHJGEqhjVykpaSOdxeOEarQ0goqn5NPr2AfoUuRCNWn6zetCfFVl1dyJw56+1
hHy60pSMnXwuq8sQrtZTGBmmZ9WL6FHmQK2hyIfXiAv6z52prAv4B16QQoicU02bYWU1e1IFw9cW
FeWPTOpYDYb6Su8DuTEtOQJf68UnTkSxL+gWOatRyukK3Raq+tSiE9t1OpKS1IgQntejsoUlssi6
CZs6pEnb1l5Fmswm4+R1M7RxsfjdYiizUS6T0dejbrwvpdE6hHNJ8cB5zfmaypzMwT7udZD+mXQ3
AZkv97BNnatyKMzXHl7JpWsFcGdJOGKe61Ux3oVaEVQrcmbalS7J/kLjpj1ObOlviErr4cz3Qq5R
0JMf0sbRRZk7YLLx2TlXyxnvpo1p67rSLL1OHekaOsW9Jq3pIlQC2mtRC1QtCdoLEzfJrgOLdqV0
euy5TuV8M4Dr/ywV4zucWJ0ohKHtvKnGnp+5yaZuEpCtuZJeyzFyrkFnp1eojKxklczfIlWvV7WK
C90Yx6dSbR7GelY9R6NyVwTA92MCtbcxcg0yBGf3UJPJuFEsEN+e0crWD5XoJoMNsTX6OFg3RaO9
EL5r7JLQJKimtr8lyBrva/KXvKjOysfQBtFK1Fm1lwlQObz7ZnZtlhoRQ20xXJeFGi51eyo+Vm51
O7R15YGRm68LwiPv4qlsvtdjq6iA/bWMbY/hPFN9NPb8hhMWpop+O3Vnts2pmd/lgWJuMx1wg1Z0
uqe2oAimVo2vlCa0qaQX5a7rR/BD/dh91hs8u5lTYj+x0y9dq31NFl8CcLv5apB52MNakhEoihrA
VFuS35jD2JvE2P7UQHNtelATDwn6vM1gyAWwTLeIGoGzFo0CJ3DQ2htLteG1uZDMp5YePRwSgXF5
huCyMigee0oTKReyv2xiI/LMQpKYaWRfak7MWxrJ6fcc7itBGCrv1XG+RE72o0nj9kIoLPeqjR60
Nvl/gWkDXkJSDnqsUy/IvTHWQ6zpW72Ltau5UpJvOKZM5s5fkBMs5kBZskPSZYSCtkm8rTo8Sz0b
kk1PLrAPEh5yzcjOi8a8uUv1aLiM85I6ezaCJe40RVmrVDtpmpUD4ue2+NaZkjgz2i5xH2pej9ne
l4Oovdi8ng1Z+YUBkZwyhL4tNfNbrVaHvsf3g1wi8WBB7ZiildUklE9abEwrqAIxWvSZHUamksSm
ljd21QCSpN7c1rtZ5ljF8xTVTlTcO0pH6kk5h1s6Es6qRrACWpGEKVi45KJk4ZbSxLXIFeUeRp7c
ZVbv+saUhOtZ5Aey5CBAxNEWOj9Fx1IpPCubDi4MekjzabZru6pEG1EVmN1LZ2VGwBOLQcxMwra4
VShJrpjb7UfSyGKMHwExXKb2A8gO+KgpofYM8m2lx5XJQpZGrAeiR1Woud/ifKqp6zD8ylbxrXEo
DpZCdpXbzdFqMHvNU92qvxjzxvWTIoRRHc/OPu+mAyrML0ZgP/33LPV/Oksh3KPP8r9XPa9fCSV7
Lb6/qXj++UN/VzzNP6CRLHYYFRENkijaV39za90/6LnitsSQsKibOTP9fZSiqknT3aGTsQgWfufW
CvsPOqiISpCYGjY9QPFPjlPHvTN3EQYvjmhkaBRej2v5hQqGNI9ScK+hZs7kshvFFS6W6Slfyihh
aJ6Dvy7Ngd9Ob9wvmlHboU/Hb/5eR0uYZdQpszX540iTX1UGiGaWjHe/vYS7P/+8/4GGcEervWv/
/a+lkXx0FTAki2PfpCH0riXY4U8YajMaqVPAeJL6WB+Asg8wF41qoyoSKHeLsM+oE+W+lfb45+fy
vwbfm+7RIfVXK512BQZQR+dvjsU/BGGT4TPZnV9mVjaS6hrNW2qzACA5cl2NetTsR7Y67Q76C9ms
FdGfS7RmTH+4xVvyQDqpFq5KMgSRCkVw7UONGqozy3Q76Sn/LcyrPPdEphB5MFYgEeEntiT3ABqZ
fqKnSu9F4hBPC4TJZwO2nBmsmhxRs/4EQ3HaLZnW7DdCbULnVdPRWSEznSkVj9ojTuTqpiGX8RHA
63jXCQi50mqrV4e6t0ptcph+krtBilSRDc9ZX0y7NhmLq4CdH6Wr2NE8ylXFVRSoiH7jqfpMlZUf
lGPsXrWEEG3QIQT37sBpjmpURTAAj6rIvVAjBcWjbmuInR4O3KZqtxB7gXI9TuVE5M8Il938f+yd
2XLcRraunwgODInptuYqFlkiKVEkbxDUQMxAYswEnv58oNt7S+IJKdzX+8aObluuKiCHtf71D/jR
QEYLkdbinYWrkJ+2t3UxOjGXNdY0We+T8oct+fXs6BT6Vak2TpS2J8I1mtuuJMcJIaLee41VHBvE
lVvL6ceHjHTAhyabvXvejr1FB0gwt00K8eDp5utUK/aDz4w3VdUEoBDVT4M582YapkwHbzEV9hVp
S05fhWfPMtJD0yTTKxX69Mls+SOT2XafgYGDc6RjccSpzPo4kJz6OetVddZ1HZ7LkhHuJswafM9F
iWcRXfRMe81MfdvJqFiragRtb+z8TnoJHj+Y/WP+WrdfRcT/jKmgHepCGJcHElGx2BFD81V3bGcu
wmnvpUNxrANe7uRLtdFDRmxd52BrsTW9rjhKrPjga7k5bpqGZtYQ5XcxwmUSZJPmRiD7JKg5Hr/n
5kRUOvaCMAZNk0PDqp9T3YwPkLzn67AZ+U85ybSXJRM7S/OLQ2XImyhfNrvRuBcjNkeE7PwWD7P8
VR8m5XrERKlcjUk1frfydNpPqS0useBNREhmV6KS06YkE6QkdWngueZkovlF6K41jjMkCGtyzTCU
iqI7z4yaryAW83WlkumTzfhwT9wv1mttk++41PtvZuZZH1NSnjbJ4mBlGTzbLuY9ZsPyqJclWlQE
7U0tv37G3SkmsZI3ITycc4TF+m8R5T0RaxAR/5I/KZB60u3b8hIHr6RB0lCkRukl0IJK+5h07jMW
q82jjVXPQ2yzNjGaytO9jRfcRlDVcWOP33vhyxuZuSzKJadLJ7wobCT7XdQIeZGlIy5hr9zLQGjC
xyrt5NPgevUzVl2sVh9TUIDU+tnBP+cqw4X2XgdLKrWREQYWVKp+icnLQtzsTAY+NAx93n5ckLAJ
wImMOz3Jqt/oNJuv4aZ2nyXko7up7i2CuiFSEEQMOqGLrFx7ykwPfW2DBoE3pHu8IduvUKnoBSnl
Bn9JVm+o1rA3xCfVxy3HdhqSJrCztD9DOV3g4vENO07bQTyl+FABKVM3VQJx+WxUW+TFarieGsW8
RMXOIO5wosSTUOjpk4UV6rr2mFatwO7B5JrZ27EOXXI8oSJTMumeo2moboaa8Gr80MKTMPIPvdkZ
t7VZ3BnucCNKWe5wzHJvZzI8Vq5PIHHrxgQbRzclzk4bE2bjIbbn5Fja+acOucZ2WJK5BzF9SYNy
2Ipx+JYndnk0qvjrNIjkmMyw4CtrkOcayG9buCBG0ML6b1baNds47a5030Q7PBask57zcGNNFOiF
78ZIt+L0RhAQc03Q7zitW8wTvSw4GTk1dVo01bySYdQcURsuQyhNSKuJI0yZ5jAxy6J4jeVMoDrM
STJFOjGtQ1HdTZWfbu3SCK8yPIuvISYrfLrYsBhdWlfphDvHwNDuOEMmXtvWSHdArvSh9LFTlD3D
n1oBOJGJy7asFmNnE3k2cJ55pdw0PFDM3ztlFO6glHVnqwqdYmvz7L92UikPXCQ00GvPvEPoFv14
wMDQ33mWeq5wTT8PHfGxlW0OKNdDC25o6AFFRB7dUNR9dUA2APJi7jwu8GCHfx4tuo2cnbya5g5R
CmFZfd7t0KqCfiY5MUthoJ8Dl1AW5eT6qtKLoVKR5094M9X+2mMEtCfBnvBTdDzBJnQDNHWjcJiL
OzDgLZss3cF1/CPsStskAilqsIDNpd2tJPvqWhSdvFJzhNsvwPgRxKHbOEnCruq2pP01qwqa2QIA
uCfptfrTrJxs3S6OrVDvD6rYOKNRn6zWm19kYbpwDMv5o8xkjQlpFx707IbHcoimD2nuMKNhIHfK
SynWnl3gceXljFZUnG874Yhbv4NYW0eL1ipu8X80ZbBrjBFmOdbpK+U600aETvZIsArmoOakdiKa
8KILR2PX4N2MPUB5W1ggRV1qqmOaOhoUbhw3sRGHD3iLW/uC2erWc+pkAT6jbagicV3DdyTRWxl3
Za8D4JV5Ok1Bi7EfIzjcnRuvLb+LuLnBdMU/hxq3jzXzQxraArUs0sQkv5YMBY8Sjjn9X+K1V8Uc
OU9D5k/gvK4ChrNBlq+Siaj5dWZl5neJf1qxEagx9cbMzPE4N024lqXR7gercJ+ActMU+luanUUf
d19LJ/PMa6sTI7oDq7Ji9wmYy8QnKu8wDqwrtHfEq+Q7P3HHL3VmgbAUaqkLZHOL0VixwaKkqre4
EqdXhl7cCvBjzHyWX5kccQ1pz2HT1WLdauiSK5rgFFvGAFQmS2v3MtkgU4SxyC+2JLCR4PspX94N
aYRLiZRlDvcQajJM2rvqHNqRy+EsexK6IiVhiEMc2pl5x4WD58H0CnuIDMzJiO4kXGv2QE6Z4Eem
jDaxu2QgJmlJqJt0LzOmu3dGLSU/N3WS3UCHirEi/Pd1SZGXbISn5RctBzj9CRIzrE65nTGDaE5/
F19NalsfYSB03ySxBcHGdhN+n1UuHDo9TfaWMtS713lDWbYUjNj5jiLfZIldHKErV+cCv9uDMDu1
KWuGAn2bAVmWkizvDdNHLvewrI27CvTrIbWd+BKXVBqV68mbeH77FmHz6BiLmXPUNMuhPJfTa09i
ApFhPuVJ2DTWB47B6psjPbg/RowhXEeZePJiDiKSY/g6i9PuPrGM4SFJSdpcWY0RVAQ/t9M+LiFe
MBnl9w+jIjOPu7ym2HpCXV+uu2kpf/FMevJ7XWDCzE+AzobctNTTK/Yq6V7PUb2tsjRkLqoAvCc3
WlLNpFNglRU2t7/vYd5x6xY67pL4R7+EGumd+rW1ySRnoNsDq9nNKYK4upTDSxhP1rT4kC/lvQOx
Y+TFPEMJwSpTVTzsoXf/1NBYvzJ3l++yfBOgYFJW33mgDbVTl4Rn9geRUvmvMV5yL77X29u4x3F7
EhSESciT7WNTf/BjzCayzsVeta+fY2Ygd1jONqfOGaerSsnmcRiEuOCFrz8pKu4/8NPesTOXLwsb
CGJigCb1nXcanLXcHyHQHJjoQCfpiAaeJBvNtLLkYgysOq4iFpg1suKxSMdrhXvqlFe6fskkdbMP
7HT9+7f5xkL9uSV1XCZVsNoDGvd3TPoYs0Q7TOPuUJYOEfcotRYnwKE5z4qhVdsOyYajed5OjsPF
Ew1UUAwW070Pj2U1oXO9y6CInDCSITglcutvMiUOMfAA5sKe+InIaGvA2wVT//03h0H6rpv2Eb4u
an+83RfJDP/8B/mEy4xUFsD/B43l5XryU+hFTRlOu3rSnE4pfhRh4vivoz2NB+aQzCYt+wVrms84
khP45FIuGa6KNwN+JNdja4unUWInnM5OfmWapfNso3DXGGjJarzCuTcgF9rKN6YgwC/VbOiSo+TA
fNa9mBbpga0uqVeLMjxTQJKprZ3pCtWe2rQNrhX1csLYRHbcjWTB3RuuP72WQWxio1cJYTAV5IzF
B4+6V9XFcRg4wIj9pWanWaYviXP+pVksK6TFhR9nz6VW19Xc3Fa4VXCmYC7KtIGCPiQ0eiXIv7wX
BFRvGQxL2Bdg+NlA1ve4UDlwkh8f4tmATYGlWfHcOsxwT30x++O5iVTMQ0rTmCup6/XWjfPEXA/S
iQpcax2YRYTEwGfsxIYfVNkPdURMBQlhGCT7HvglsXKYckbz8n9EFPTRxuygqK+jFJn7iBqYUDp0
HR2eqY6W3MbU9K2ZZNWGIQa/OIaKstUcwiQ/aEp5X1sE0oBNrmmnTbzcaES6QHSfTQyX1zjruuvO
NfAEL0Nyn3VL4xaQq/hlyoZ816Z9uh9GqiszV6xIYrX7DbF5w0OfFs9+S/84a0s+Bapw0k07pYS2
Lc8uXAxcT/PMw+fSMe5ws3WOFhfHbU526B5olEMvcPvi2LtB/aIn0pvFZFEb2oUNxKp5n04ftB/o
RIPzxABjBWcU9+Gi6j5XJb2M1sQNmJrTqF96uyoJi3VS9qNai7nQ4wrjs2FnzXF5xH+erqXynRW1
k39bOu3wYFqDvSUoun5xu5YQbkGHJS26Z0YcMzdAX1vdZzsDUGqaQt70fuqzgwWnSR9VQP5BT2cU
CYGNKLFs7BHocyT5aIt/SFZd87WuNE9liWIjkaFbuamYD6iHmlMjG1A5GxnBSofLFZqUHJfu5C+E
Obt5hJgTnC0FzEJESniOLdme0smvzl7Mg0NpMe0rYnfXdVCNDwhAaO/VlO6DBQFCnyFvyhx8yE9p
k5FizK/QtOJ5mwazfMq98sOoGa/2Q0+7bbrxxaoEJt4qQZcj+I9WxlI4L99aixAQi7RRFkaN2uE8
Oao4WstW1cv5bubg8RKw5JkYP4KW2jLDxBilwnaAFvFpWprXVJMUuEm0aG7NquXN1BmlyNtdLKt4
mdPF9nSVo6UlcK9V4DoOtEGAVX5d4U9Xc0yshR5B196WId6gFBJx1ZgHPRjTtYhBPJxuam7fEJ/K
YfngwFUQ3ghyQpAAIYWVlR4KQUFVoO44D5GHLG2BB4zY4DFgRuGvARx59AuQN6dkh+QSQEglyWsb
zNP1zHar1nqKKUbUEloUxKBXptT5XSPFkpqX5OESMuOi3yckohnw1cfRn1ccK7M4arJUVqiVmDPG
M1sQKRkQXOQxZo9z013Lwai3YcYSJL7DUtuKlJw1/qME7+QEh1DwmAwTPaQkMN1BBIktaB5nRwCU
ub1qvkK7tLed2U+fKgy/V5HdFoQRsyjw8eJYo6OPTm9IDT6O5iqg1GjJR035L5U2YE8zc8Q5Fh//
ht+8XZI6B7ut6kQcDdP4bsK+pFz2DV5fUVIsNR2y0r+XZgp0KQXQUFVb0Z1pFdVZ1vYypRLBOei7
5rG2wNCIOwRTw7SgOiuMdC6joNNax2bP4W7Y3TecuupnHVPstNBaz8rnnK1VwiNM3Kb9apKehJlx
Tl5qR/u07TzK857g9/Oynpt2OYaxa+quiq4AkQxTn5o3b/njXKITOY8UfMmCelOXLLcADdqzFbAk
xDx034aGdPjEiuKLD89nZ7XL+sGyHQ92cMjC4+dEC/r1Vt4GIQgpHvf5XalGUCTBNelBDPj4djdY
PRDwEMTETHLkgzsBoo6GKy5+bLhcFSoMzk1IGdJMuf1RtYSghyXpLl5NJSxoh9eJl1kfpUcqQwpH
6IjxaHGcCrM6k65VnV2bIrZc3kFCefjUIfWWu3auKc4V5AQMZceHSVEmyxx8zqwL+6NRVhy2nGOP
ZHLIJ4yDohP4hbd+gwRhdeLZQLAFocmJ2mSa8rPjNJFr2px8F5PVvmtqTXHS0+yUbGzctB1Q0Lpg
U0zmWD8XtgFArcCMnTSiVegpnB2sXjc24PKWy57F83bMauhKe5Cj6aqtRfyZrn6Sq8kul34CPsxJ
twzYW0CbT9KnajdmOIvrsRt5mCbHWzKyj/LQ4dbyRkmP57DWDDO60wq8zC50mR4r4TYnJQtAxOWo
xKYKhnXu5BdGvESeeVBRx5hUI6cJuR8SIBP2ZAs6jRXN9Pcw32n84btfRXrf89XJqc3ZuGlIEyKL
Wn4hJIOSo2HKeMwqNlkq0+RCtNHzOLo8tRlSxtEOErbKmPMM+gKibjWq5pGqJBOrQU+QY/FID6lb
Bje9UUTxWCvVUE7UdUQFOY3TZhx44VOAa1BuA6m//c+3jTmVGVeMYQ3tV1dxp0oulWM19/oDeVzT
rkyydF+rmg2dUlXGvsshg8IivggJawcmSjpfS2+mI1P+RDRe/jqIufa2SUcD+wYU+518FmR73aml
Cpg0Gawbac/DHiCBX6yOfpHhqA1PdG7jZDMvk5geQGU7uAtxKK+H4NRH/X/U3f8n0PiTQEPgbvxD
Zf9OoHHBtuKnMeXff+A/Y8o39cUynbO5Ma0Q+cX/jCkD8VdAriZ8S5qXxb+YIeI/wgzrL/yr0GYs
80j+5kI8/Yf2GfyF66CJAgEWL38cnua/yNd8J9X1F5sxFEfYztAJv9FOf+xBImVQSFeuexz1An7Y
2ZzfJQWnETrEcQ3NqYNATakh4ZftLKSzpwCr+qcQlscnt+I4Q63FeeBQEcaayc4PT/LD+3njr+0x
325xDlusyOk6vV/VZyF6g8hSoThmo6BKTASXO/yDM07+VCFNWlBuSWYeuKYSXvP7z6av/aU/C1DE
BBaTYigjWIk4v/RnEQgMXPa0OUZx9Fg2nA2DGtLwOg/b2tt40vXPthmQxOtMnn9FsZZ+sqginvWM
OQ42VERBynlyTjGx99vcG8ifKNoh37ZN7eEkG0jiVQbfPUaq7M9kzMudMKVYze0QrTJdhtZajF15
SezJxPfHGmEnBE2D5yJCis0wUIWuEM4ZWF33BLePZB88USiBYHaw3eYuqK8ANOdtWxfDXYKilb5S
VOPKAIPmYmnCMCH7MMnWHFXmZ6NtcTYlGX2AjlhwLzdkegPpVjdEx8RbIzEUZqCk0hwmo0TwYcyQ
MucextXsK7Ke0P4mawlPeF1Cg3+ssqB0MY0OrbOrsmjjtVP/GZkKFTb4ERgQDScXAC/AOwQMIXYK
9uFeEz+5NoQN3wx7nsV/zchwwUnRCmVxYz4Vtelt6so3202Q6HCraOTS3egwklmlbKU7jQOnXnAu
aJKzSPqP1lAnW+4WNRzDICziTWVX/Z1OIZCtLUd1cK+wG9yVVg4cUEV9Di8f6AyNkIhnB7i7xYAk
jlNbrZCMk6/YzoLXmhni4I7I4laF8FqgYfcR6+8ABNCrPhBfoHcEPNgtMp5kXom2z6oVCI61I9Ch
3bVMmz5M3Nr7meiRbw3y811upruwBypmp4ZHZsbl3Uzb71A9DtlpzgLioIjVfEn8Xh7m0py3YSH7
w5S29bzr7T4mdpnQH+IqR6H79dhU3Z7ccusKY3t9wpAnenAyezgEKlEQt7iXvgtljhertjRpAkTS
fMf1NK9X9ryETrlpBa5oxWjip3F26dr81ssW7s998qaFAAYdYIBluO+qe6stgRNWJMfXDMSdqInh
G0bck4Hs829VBquQDqnNlsGc+pbnIxcuHmrlmKxkJUdzSVNs4WWnDGQPYUVteuk6Zr7zMDvHwnSy
8RHNZRyeYV3WLzjh9sM6Cgc4nD44ZP+1it6aRkpNILQeMH3bD21lbN/m/ONkYVPdwQpj1DQac3o/
OfU0HaaxgQRpRIS1rOqqLeMNWFHM3RsqCvucIIlqFWIDsfiLkMQ3N9SUCQqMc4vHvYSy7tQvHaF3
R5xjCpa6XsbteZffwf9fDsOE3w+dtbpkTMVv7KEGXjfskE9rl9+GaMa9b6OZfqNxO7DfZAQOwFyO
GqVNR749pqckSS6lX1orSk3AqSc1LiGEoYslxiZRyzCJnlcbq8HUwxdsqgbzGiMp17wJI+UMa4mn
xUvbMc7dSIOO6+0op8DhOYmM5hsUmHM0N/rxRqf2DCvaMZY4LOXMeOzoyMYbeMNNYE0v7jC0pjzB
pjT5Wx6Tbso6mqyYmXptzWp8rGJdpOT0GW71Mkx9ydJp5+6qbmfvpuksvvFYj7WxU0OfModHLrBv
Aru4TBXBvyuvJiEMUXmmb1HQ2BdR12ysNAqKS4uFU7muEE+RijhRBena76HZjn1SnhlYMN1QfAPW
LoOdY4ULFQBI02pybxw3GjYVTP1nY6zUBA+6zcN1Ec+VtakDj3ZsSBi1UIj66glGa32TeFNYbgIP
9+AIY9xjbANs5Kqrv3RW/8mh1D2S7Jq5e7zZ1C2ez06xMWAoj/uA6axYLV3NSJoVbsjCzaKdhZLg
OnHGqOHJTJA3mFN+tHMSUVCZDe5Xd6wgiY6OldBv5VtYBwZBOExgz4QR1VdkriXnwZ9bGLhNQC+L
5S/qKt1a5LoX/RH/3NlfsYCMjzn3DE6oTrhMqaCBgtGXvr1Gl90Fq4EYwYwx2tIBVMqZOP1GL2sR
J82wQmNX7BBfoC8rqe7f7tH/Kxz/VDiarvitXuj6peteviZD973vu58qyL//5H8qSC/8C2WvZ3Fs
MCZFpgP16x+im/OXa3oOxVEAH0u8FZf/VJD2G50Nx36i2MWiCP6fClJYf9nOYjvzv3Xnv6ggIdPJ
H/F38sCxT8av0AJQ4Nv9YhAQUvswTTfkASL+awJGvCekils14N78fUH2//skG8s/x0SHj0Tpl08q
KuzdF5zzAFkYww1TPsuq1isVJcP6338SnxE6MAxtcjeWb/IDMB/3RjS3MpcEXOTcNIN56cYyw8lp
fvjXH8QEihCKxVrA5LN+/qARlX3I+SgPE41gXuSvkZG+Zvz9v/kYNxCLZdZ71hxu77jGu1oyzIBm
H1JErjpgiHVOHfTvHx1rFT8B/LThXv5q8xdLsxTkJMrDSCriWZsDuFVtAx5W2R9+FN3RrwsP6Rua
Yt4TdqW/Ksr9sYR8FcJzTpTKIXRNd1OsH4jYfJDjGPxhWPNrI8IqD5Bto88LaMcQl//8ogzLrdmb
NdVJw1jLB4M4ZEFD4WCkL2bAmDMlA3hlTSRg//tXR+sBmfXNEOXX7eW1NWMUxt4HZlb1/UBO18pF
MvdA4oXzh/21LLZfdjKpL2g7llmUya7++TfOQzZM2NlLvKcbQosg2HEbmdH9f/GDfviUZSj2w95a
qLmjARvsYISaNOdWP4ylqk5V+989uh8+6ZfzQuVlgo6ET0qKYdp4OnuBao4o98/by3x/NOFdGwSs
DD8UpBD8sjzqqHSDspYlbhp2vaEjNfIVDgP6w4zqeRvC19xYYWvtGijLB7PV9Qa5cggIJqoThFrM
GxXANdc6CSAtDK6vb/wDP4uc44IF7AY/f51ABI7xbI3X0qdtQWzZeSs7rBsm5fwr1JPllvmQDa+S
9EpfN+Xt1Ib259y3kW5GWfQ8liBbqtTuIfJn2sSpCvcqYz3nvvZiJvUDzEimtYy+G0DJvseCesiL
aovJS3VP8Ks4kU6pvjYRp7yFovM0EqF5iwKyvlJBN2LR4AdJvZ1EYX7JiN3FWJfvQ9ErXkpcHjb5
2MtdjebhAgMMhj86SWycnGjxPhgKfAoapw/3KH7krjGhUWUNVAzqRGNdmvy6ueTgKomNW8NqtWHe
crgkcUpiKjGJJPLSX2EOVdP9YIh4EiX4I+1afWWZPT5PJThZEJbG2i9M+3OcjO6Vjq3sOQ7q4sFT
jCKbzpFPjVfanyN+u1z5iqGaLMUw853GRWjpy7BfO87EXteeoHQ2GAI8dIpcctBalA1G2j9HPBry
WBt58Ybs1bR4pwO9+Wekaq+6U9E9hgr1US1HY4KU9IpOkEFbC04Zs7fDIiF63tN35L+IIyd6v4ZT
nO7HuHBWlAHpkiU/VKc0JiZnJQYIbrEjwwsCyerVM0LrxqpxQgJtwBrQNhQ0j7dlX3SxOBE9H5wR
eiAcTHkIeFBma9rkaV02Mv4YzMR0kt6V5s8hocGrEt3ZJnKTDG4o8cAzidGtV+zReZjy2mIgGW68
JBofk0ga4RamG/KuCpOGeeUxajoTszZ/DuijPkILKl9tP6lP/MaJdpyTE/J8cxCZFT7U4FwfHVrH
bI34zSXoFF51jntxMhLpCg5ybrEPxyGRbmTVRzp3V9qWcb0i6dbAm9cLH7qmZdsJczbW6IJCLJvD
AJhcLrmZhZLJAz7W8bhH/pK9hBh57cKKfURuDGTwNBxRnIyRBnANx8e5nfM9QUM9Rp9Ga6e7TDru
vKUDh4vWdjHGGh7izi/Yxnff7Jm9hWJtsjYIYbtPI935U5wJ98qfCs5QJqgunkmGc0LFkFKXq9RY
Wzlvwk3i/LmJ7eqkIzJ/IT3Z67zNXkGuQwjfnnPii1g7kuinjTF1ANkJvNcbMtFhF8bFEpDLG0Lr
lvMXTrUkYHTjJmF0n41gTJtE6uR7JUP3UKEIXk1e4s1nYQ2PspvGPQ6gRE2HAwthVkFFJGX62sFf
X9FNQ16zij1yqe800f4m6fR91djwUscv9Erpqaw85osRAkyuQv82GdiUsBT1ltnTeD32bbiNc/Y5
1s0RAjI//xxYcr4ik3FXzgx24lnLfl0qWmUinjPUxH3BouZU1B9AHqdNNWThxaGohN/Frs+HAjx+
lBEEg2zazi2nW6n6cW8t964U/G67zF7SzgguAb7NL4UmTt0ZewuLNsUYSkTOSQ+sKLJ5ouchhHNr
FlO9GVFCbd1uZhvhlRHidT6Qema0KAfjjjMnEXlwa3koL4VZvLguB2Xbcn4QHO/fzqlmqNK20yby
G6aorjMEt+Rit4yNybsjT5BlOIRtsy/MEouLKeMQAwTYeIqPbpnoHtIOuxEyytTXBGdOWSHQjcFV
WcHgqG1aXBxJpnGinICXUMpL1yx1dW3XV4UlWUyMLNBil5bALpSnk0YhQyiPCd3bqYu64anPA+u7
qTitxmWNuOZs3eRRn95kro5344RZja+oJOhMe/cGNeGug6GzJsnVXrvOzInY14v5ild/goceXmY/
qjba9Nu1MNAaDrzhjFFK2x5iboOPo4yjdYDi7xTNQ3nbDZw9RszpoUI2PagPzzysh52T4WIaVxh0
OJFtfgmtob9iRkc9Wg+XIO+KA7Yf4z5L8PIr8Ry47tv04qTO+GhkWXeZNDY4GOB8JnFcwXtGvxBM
JMWI2XIPc5jO8BCa8kLyIgrv/MlvSLCGufdax0vMW59+Yj8/tCMaSJtwj20Slw1iUAdv3AnyLNdi
vOdw/2K49bCyfS69xfjtaKRJ8UB2dHVqK04cswxgupuWXKzXmdb9fch6osMjj3ewo/cCMfQ0pO0A
s1ci4PRwwBRQtHtYEiubGb5a9V0IMDgVBYdZRpPXsESysFwj68iPlWrMEATNX8yGSU/cANtgBlBI
Jy1h0DW9Ca9XoZOUpf2pK+3ypBqnPAGNgBbXMKDgNHUDTkuYEhbMTwFNvKtJ2bqcuXyKlvOv9FWE
bFTB8DHzDKGiSMcyQTQaOiAydhmNwQk+NnK5yBsc31lTi+MAt0JM6b92U5YEq2DMy+/ShaGN44l/
1JAfUKlMYbuM+FyTSbXmXJ+CxV9s3bd9/6HyfKwaMjGESJADHF16mbTYMzmDNUIXtLrnIDdzqOi6
uFeZgzBbWh4TSoprWLLSn8ZTVWT5JpXmFxEMB5llME8nBxqAiyeb7bG/ODjGW9fNjGvLqQxUDH5J
gqGwpz371HZWdQbNcCiC/mA3JEXoJnrJEzff+lgWbwEpg03tN9Yj7nb6ZuCOhlQSt+amEvZgrMPC
mW/YrvHXuPChCudWBwzs65DS0jCOqXbNYOfHJeeb8Di+RUx1QreEX44i6RYojh98yKHSQPKZ3PEP
Gq331m5Mm5CymSZjI9uxxC8VdjfPsRg6szgw0uS8sdV4TbKc6WNXTJ3QU1reoPpM0ErM1BXLMAOM
znaveqeE1myFf2rUEPb93Fcs3weEgEAJYoLop3+u+P3YjtkDfJ+2tB4Gk+Fzzpmq/PSlYjARTVxz
v28x3nWG4eLPbPNJFvU4EvSfP7ATo1vGzKAPY0MRBjiMy1HFdVxhYnJlCJTKv/+8d0O0YPlA313M
MnFRe+feD9xf5cLLyTkJGmVgbsE5n6K0lhtUgC89kYXbvEuoB91AfXi7dlQ9Y+6c2MraIRQxUOoX
7ks9N+Neo5f9Q2P33sSR74dfPPT9RTD5rimXOiXESAz5ISlLcRoYKr3WDiHeK9WrzixXsaDYLoqC
jZRkVn8zgmquLIwxLtKi0EZ/80IpU50CG1rsZNN5dqlEV1ZMg3uFBjc8V23WQgXpwm0/NhBNeqiU
h3jJ73I0jetW4IFyT6qjeHE8nCBXIX/ZB4bl3yK64QKOJo3neppmz2+3YoUQPVirGRn0H56FtXSx
P3W5y7OgolzMdlzUCL8sjnhA1sTtlR96DOVXrtHVq17jIasc8dikBHVDykThAP1657bIoMh2+7ep
OISs4mKLUopXwjL95Rvgya48TGLTA3YFiHyMuL6SQv3pGHiHWPApABUEqZGPiGX5Ly0ptgpj5FV1
evAExTMubwYpSF6/bqA/xysvr50Veuz0BurU+Pj7/WC/f8aUKNByg8V3cDEu+nkDTlYuxrZQ2Dx3
Ko7gfkGuN6IofC4HSuOuVu50CQ03fKjE9JCHU/NqYHey7afRjdd9jZXYct622MQUQ+DAhZaUkyJv
D9TfsAjRGnxrIivqj5g20Li+ffv/w6v/hFdzUwCR/EaTnVbV967uX37Cqv/+U/+wHVBeMzUHqUYH
Ayj3gyg79N9QZ2TRpKsAFnt81j9YdfgXkmXWC4ncpMqwbv4Xq3aQcocYUxKaB+mc//K/YjsgUf55
+xMbi0iazCsfMy/MKN+Ohx/gJ4flXuK+b15VplEnzQDl0jM2UEYjJHKWlttcOHBnJmeU7U6TKIHK
DtHWd60LRtcl87wVMsnuGhaRCGsAC+pQPRdCPFjUBflGYWkBOTj+VDLaX6ex534eYaheoyvrP8y4
3ka7tM5Ic6npIq5jxT9cj54OJXZCCUlpTIqv/IyZHzDNbdH2zhdDITK6MrtGIwP07P48ZqjQPjl5
NPjnbl6MRIbCUzgeiNIZvmUzMYmV3el15OF7h3hgN09oRxjoTbhkmA4gjTM80SgpFF4DcuXr3Ekh
6lEm+3KX827vkSWWsBpsmnk8hiNoDclExZ5AZV23aTZ6R0gTkEhhxt97YrCPnd8ne1vjBdZQ6qd+
usitG6Z8IzPyfWanHyc4YB+8zI+yA/+Kc430JypRl8Jkw9SOeAyafmfbW8aLzoVGXJWVCtKwb6xn
FHBbQj5DOhFoXZs58Rt3O3OG31lm4V6Poau3Vj/4FnYaYVNf9bhEPeD+6d9L340+tv1kB0fgRcfY
ZJ10CziKAr8aH1clzMLaZGsQ+Ilvlu/zDDj7m0FXJy+sMSiTPs9ywARsBZUOC03EkuoK4m6MjUgs
k62fevNdU8UiNfdRDCicW8jt+hYvbrtXWEQrnAJ9ZpbMW6Mm2wVTFB1EXdqPcnb+H3Vnthu3km7p
V+kXYIHB4Ag0+iKZcypTgyXZ8g0hyTbJ4Mzg/PTno3dVd+1d6Dp9gHPTQNVGeZc1ZJIZjFj/Wt/C
drxoY3kOci+3N13MjuhoG6afv6YtzTEv5Ep5nO96dp2TsRuJ8ml9sHo1m/qEl5IBfaFyJxXvscYJ
xpXLgTs6NK4W2g4tnLG3hQPCbjIjFDIEj1M6LE8wE90doTIOW1kFVDV1iJHZFfPVxA06tApiG5u1
bDbdaMcibblEYBMnn448gBvZRNzMsU5x317hSDJgHfEdpBXj1qUJSYAcsONGZy8r96Wb6RfDSB4n
Noablh+z5+TfbdAg34Q5LnvPS6N9NMxfzFzpU0M8YUdcSd01hWGeasfO9l3UWOcABvQm41iw0wbn
1cKe0rPd59V+9CuCZPm8nMyGj6bl5tZLMFvfSxCKYSNgz6ikMzjwqWGPZaTrzhAh1EmnEF+qNj/D
f4kvjev1kJMKeoqJQ1TwZbVd93t7qXl/DDKiBXCSuDECg1OIggKVJD8d3HtojSQjowqYUwMLLbBb
cnXM4Uhs9HO8+pOojyChf8Cm/aVLDb1ZgbebwXIYC7dKPPDbq4tyZqPdgBarT0LK/ie2yRlji+TN
4cN2bBiZc7SXmzJeIB40DWdC50sj86fMT+8WEaHS9CZB9eU5BeNTmRpgZzw+6QAf5lJYWyKKu1jx
7sd4c/zBftFNc/Dn6aosY8JF0E/7ts673RAtsLsj+9Xl0L8Zy0JvRZH/zG18z1Y5uqjVSf8lNahn
aIQIgw4fKIkYFsHUv9o1UpIqqIjnFCA2VF7YjyYp4l0xtWXoBcPIvVVDi+d6uAdLFzo0cNIc/Tb/
XDwYRMRCg7PLcnnuW0kmLpLqlgSdwuMIB5tPhXiMk+ZxUHpn+LyopSpvk2+r93xdzbIeVhn7NW1c
6tqyn1Krcc9V3WFGwoy1r6c6QAJIvpmGJuppTb9Au4pj7GlOn2mTb8hzUAZkRMGZ3ZjcaZb1x07i
kSE8F5wy5T1Fbvs4Dp25Z5nwL5UyRi/Umdt9ZV3pt9bgRcOmlp264a8ZwqbLuoPJhdqbVdPfGK0n
T3Kagms7mU9La3RbWxVv5BGsUAU9YkYBQZZkEt1uHjWm+km7JasLxzPmjmpPrlHy61X2e2KnZGAS
ng4NRcuZoJdXdc858t7eKpboy5iN19po2nASnXrxDPXikOzZ5MbwDjfvmxsTriXYzn3cw07MYYlx
/NjjXz5BqTrAX454Fxv7ZuH6OYx++1k6s7NzsHAczc56rmklXV07nI2LJB8uTjOat0TIpz6o73Kd
vLqZRaSCpJVZgRNipYWHG6xuGh1KSGXZupbWhv/ga3nQqZqeJi4d6sVA/RjLqP89i2LxLccQtm2l
twLXbPRDb7hy4t8NTQaL1ur2Dq6dC1YkoENDnYJQDKokzObcPyCwLKek6o5drc5DGmW47cw0jAOw
ZSkBXR5mebhEAedgjuHQOeze/gT31q0OfcO/gXyyH5Nidad7bXMl/mqE8zhUO9AByQf1qHY4Wv3d
lDY8E8b8RdjDsSTAHAwLD1YVoIC33Zdh1jeOEcXnACAa/uw3BWp5N/B6UI2rDE+Il16GeXUNFWJv
E0KzwthxlttEVoBgUdTU235JxMVJnXgPmm/e6D6Wb1HV10+4qbNyY7RdWWPVY2UaClk+xMaA1FC1
5Ee6lcMGSOM4V47aCiHqfdnX/Z1F0CNMLYv5ZQ9yKZKgO41xfTyTHqvcYGP4zm1kQP1qIEPem3E9
TFt7zm0EgXlR/VOpDP8U6Gw5T4N8sfGKfgDJNeJjVJQklBxvlHojc0HxmW1XRHF4zlq7oQs+C2N4
EImH+GOP3ZN2yoexNIywyYzHYk76e2bQX3UrW5R+tzrDHPjqa5hWU5qdLUN0O8HL21oExL6zvNrH
ERnoXS2i3Y1UnpyoaLd2qhqSg4u3fOP7wMQK3DhMnoa3IMZ3WZq+cY2HMXtldjMCWtb+L7eHDYB9
zdo4iczfK9+bvyCEupus999k5tRgBQvvFQ98ujUi1wyZXahn0jLmZhpXIJZHwYGUTLQme/0QccHU
hqw3Tn2f9IMK+PXiFr5joX7UbfYxm4b3FGBs+yr1sDODHpybmTkoejyyPVULhKC0BUe21K29qc02
v6DiVKQXeuyguoyvwsqPXQYFlNQdTu8+qJ58gkpk6PykfwSs4B8Xz22+GktwrLp5eh4Y9+xFkAbA
6whx34EV+QHt7pPVOWcM6Qbbvo36lxSHoFvK4FAHSNnOaKQ7lH0eEBSsbDuL0EfiWGYZGpWybiW5
g5AK3OZOCb1s8k7Pd4Csg+OIiZDIdPOZx7RM99jACBTXg/jCAqmnnewlnE63w+J5sMtY7+3Cznh4
aaN8a7xAXogYgZBjL/i6itUz6mXur3rdLL8UiRQfZe64H3ZaAg5YupjWzgTJWuRsGHrec4tJEcZ6
xGZGfmevXwySG4h10rqPOKhArIRrCmqHcNq2YOfBrCQdYnyqkSB0dWn70dtnxRB/AXrateLKRiss
yHW1wYIRc/xRRa57aLDvb4uuZvpCdOMUlZUFU9sJ8H+aB67a2VF2twGEUG/zqlJEt/rvQ2cj8C91
vykBEUG7R79vo4bnX1YBDyrJXkRg6Gtf5EfZwXFMWoW4aY67qJU3lSj5kuIuPeBC9i9pUlQXheMN
tT/4Mi/JPh+a9qnFNngwxUefg1DtQKHtVBG9iLgtNnljbSPDlgzpavrznBaxVgFCdedy5zW02pTc
dwWTpw2dFCIEw1ZjYxi2fj41LCckNWyf0RE2ZgBJWfJ9DGi5Z4O/N33eYoKKL2hC1Q53EJbZtLiM
LkMJJfxiy1GFuUBnkKyOvZpnYl5BuLSfAvpJD4TKP/Oyf6nqGWKNuzx2BecUq3OIQ4wl+f+629b2
nGxk7bRXo50G8jWG9YpvDg8cPPuXqdNFiJ2NR91s2BvI3oRPqxW37TB3t1RV3WXF8sJMc9pDYAnC
tIrSH1krtmLyFkY33OVTDlXSpIzPnfzoxRP5HdMUG68zA96+KX+x+SXrkuidUEsVJgZYz8ke7idS
2pTg9MVLa6t0mzN/3TPED3Y2zWFsuqHAzobKr1B01ja0DByq6TQ3148+TN3S6ZZNyH5jNj02M0D2
QLsinHOPXY9Am6Vf4FZOc39DggZy34zholumxLY53xgMnA0qlhk3VBLCxjBsvMAb73zp/ag4b4Cd
eLP85T2u3YMndH/HMXfmzcj2Y76cIj8bdothHPLkl+E3dAm72rwTWtXHJmsfmnS1Oicsj0njh2SM
zH1dc7wdrFYegDgdrIouBanUxSfGzj7BZJLrvxA4oYgmXd4nr/+M+vijqjLun0o+9t3Vq6KXalhg
s09l/N0wSLz2RKnI9MDxk97dEvjffDh/bRAAxefhuIFjA82IpBToVlPc2Xb9qIA1hIZWZtj1C5yJ
jLwxI6wKT/ZiPABZAN6XFdPCI0FFvFyeBM3GNOpkP/u05rbcwd/nNvkpM3RZGeEATaSlMWzbTLSJ
thVYyhV1iDjMCyp/LbrGpkrmbPAqZp8Aq8rHEXf1cTCmZh01ZweVGnGLsZa0b1gx53xDw03DaRwY
9Dp18zL2uDQHwskndtUZ9o2kPNhBae/reYkvTP3dfVv2z1hjYR9VwT2we/VQpob45aS6vyxJ6p5h
w7RHK5+zcw+NZO+Mdvtsl8w1/NZ65wyvrhnU3TCKzXvE/oGIVhXfAfsloAAN74o4DjRkmaaDrDBz
qIHT0gB6at8FHjNMUtGRLIH8ltLexhOIl2LVglPdxVu0DQNcogkhirp2t1ZyZyV5dO/iaaACZ/4A
0RMQW/SId+W8Y2xqr2VP01ur5hMdmDStjsNNFBXbCp14PIuD74wH0m3je3KrioT4Qe2UbIPaBbAv
3x5eb4hZO4zdie0ep/49lTuUF04WE6BJ7RPQQif2jSevgFuZ58WwXyt0dqzmM5feKXc51g2FVs1h
yn/qlWEfOAqjuMhJvQ0ZKQcywnhweVTzFCKBAKZLBxfyECB26R/dWpHnbPqsCA2sKHiZrYbpvTbR
TPP0qDNbhG1bK2oXtXnpsqY760r+ahY4SgGj4vVsYS3pTbC67yaizg+4sC9LlZHEDTIYaHk+hsZo
iNXh3G2zxjcuo60eUquwCGsV19j1Xis/0Af21w14T25/Wh72pTCBnaN35J3DWcZJ5hU9wrfye2uT
pt3Ppaof3aq7zvWsNu0cbReYAKgMnLMsCYed2CH6fsLLI9hInDE0k4lV2TGjY0L3347UqcOmZT6P
fFLDfsWRmH3HGumIFnDS8DF46gOew8m3mwci3tMp1bO15Qh5YYl+pZ6qhOwz7ThqcSeL2Qu7QTPi
Eql5W0RvHfxpREZZeOjanTy1tXhiCH7yVb9bBjcLoY6UOOKTpfza2AayyTiO/t7KxTNr55M1xyCN
46EjODNy8vJHlHiOgx1U2mUhyYoisBVROp4Tck0bxy4/yq4KHlUMF53d7KFhPI7pSy4vRHwevCWA
wVULi6yyue80ncN228KPZqNsEGj3ZliBnnoG2f3TF81NL9Yl89132nT2df7eieLQd/6vdg1Mmj79
EpSzq1AXwbZRZShUrbYMb37VHa20uZF9Txoj2TWMC4kmGWFmVRWiio9WsqiADEqJFpAImKOsWpTJ
qYc2YYEOdd+6U1jjSr0n6GmdQdW6NVJ4bm3GgUP50Mwtf4knec3YFfhy3exKeN3tNuk8IozupYZA
hYcmdMkPsRHL8n6PihOfeWQ5pBGER5uHmJsecw7QcZt5d0DIx25Pad5EDz6rWkd8SLROwda4Yb4L
qNjtng0GmXpf+JqIY2tkYxviV0dqczkjzCwfVo9PBlp5AzWA98iB0NwycZhNrOu+/aGzycs6bC2B
RrH4Y6Lz363XH35Wa6GS/p/rN/5kc8E6l3T/689/1H/8Of5ZrTG/P/0BV1IK57X/2c5PP3Wf86V/
cCvXv/n/+n/+vb/pP1XiHfM/UeK1TvkP7bZ/1uJ/f90/tHj/b1S1r/I87tG/C+5/940H4m9/2MUt
jIz/QKPyP/8RMTT/RksMOaPAsoGXes5/KWKIwP9nzd3G1EjKkDGeK2WA13nV5P9Jc0cObuBp6+xU
gAy+ejFUAiLnfDZohMK01JHT7pqVy2mJbh30E822N8NKuqw4S75QnIDFqCLzj2qeuYRzAgGiOswi
i7RySi7Ym436bamzdrHAQaX9colSb6bXSNcWyfoOeKIHdYPfkkVuJkWY3X4DEcExEZJpUqKNbULt
0kbZ0n1qDNayVpE/9scRC+dKUfjNXfQGOzpXzho9dEuC9PyaZISisazfZVAue6bDRI1xe53mflYs
+InNnvqYQ+Dv2y8CU4xx9tllCfaIFHn+GGIZu/sx8NjdmkMUp7uij6eWR01iOG+JGeBqWRPrXXKp
OpkxJh3Z044PjUVhwsaL/TG+LYGR+PsqI4jzNMamuwfOVBBDSeMCF4Kl0a0oATKlcxL2+jdjsAze
t4lSpvKAdOluYiAsFF7OCStXJDSFNGL0F+ljU3NFnEJzcCMM+Qy1449imeP7wZurXQWRAIXYmxtA
43Hjf1ugexusiuO0G8sGWp67bDv+tIH/QlRaNcPNY9uow8yM5TF3pWAfjld2jDAQtvnjGs47FG2x
Isb8HKMmidPBV5R8ujxv2BU0dlM/NElmccPUHhistc7JmCmEGNx5euFhln0zEzq8vZwMoqTEN+zS
zPlplJN68oHAQKmemi3c6GBPNCs9dUB53qCF8eBJEub1Xlue0qDszlRqHLFl5eRgVfY4TF1Zbjwj
9kIcOcA7R5cNQHmagvkZkMPQbowg0B/Q1aOnAqLKduKUfMpiFzfu2BUXz8w1kFEbEXRJc3bEYB8a
QySHeKqCTxfCXc6hsFUPg+E27/HA45dNwEyCa/Z5QBDhM84wS/iq2SzNx3blcI2wGV+llT8ro7be
XFhFcQjq5zNl7v3qwqrf2oyz9zzSyS9xtEWknkCwyPFnFGn/fUE93AW0Is1wQePuHYkPQHraHkUy
2pusHi+DnTj3OU6svRwWnDUuo/xjG9vZqQqEewX8J94mq/dvwivhEFojQSSVwaCw54BdfqWfdV/F
9xLO/jGThbwADJ1u1Bsw14prh9ruRNwwkKpvTZmoN65ofpimXl4oK8mPfVmC+6Fh9rPGVxaFESD5
c9rK5aFxuoGDDS6EIgURsolq32NX0RU5FjZkc0NO6dWfW/kYLBRKsKXgY59PbYR876fp2nYm73tE
ibuhlenXiRQzGdR5NK+UhaTXLsma5x5nzheqKeuzzHBmGsB131A0FZYxt7t0TkVzJWK1OpuLt1h7
USTFg2MG0YmO2vHQLWa8NVXg79tmcH45Aw5ABuTz10lBsUCMPJVZXQDcia4wCMAF9Ym5GX+PsMr4
ZAX1ZXbMGVlTsjm1+x99OVobmZX50YyR2EuHE5MQGrIVmc09DW5U1E5u8wGHq7+YzZjucxunlVva
46OqOHomlN0fq7aXj9E8zt96TLmfTiSGR96Q6H6q6v4rKrxYfbPE3nTXbatiUoAVbXWobeXiuO6r
7IWe9fzAZefTYqwF415W/wAq1x0Wv0BBmCJT7iZ3skG+tN0DYWV8I0NBHlVZpDx9jtO/FithjGK6
Uc+tzGEG0eEZhstwxbn+UKMV3qzKir+B784PixM0e/BTxrCBPGFe3TQzr0GXBTfKtKzHeRp6HhR6
Du6qanWr5tN93vQ1XD0+qOe+jzGUIfIWYTR2bFwzEZ/rimNF7Lv4i3tZXntaaDAtsdSgeF4M11Fn
q7HFF3dmwBWaRIBC3bjzZ6LGifOi4bcpm06ljho37gfTQgZrKjvzLKG4oqms74pj8ynXTn5o7DR9
Fq3ST7HXEf1Ej9sYgKvAJ81Z86LLPkDu9ZbrwObwva56xrTYQJ/ytELR49Pj3ZW0b/yAx6RmCjMa
TLylM56NuBgOkRbDbehaeQbSVO79tGleR8ypD5PDGQCg2XKQ6ZQ88mSr39ygrz78rvR+zWnWMezo
dIyROv6BAqF2kEHQ0rDqjtgFL/OknS35sw6xj98zDAzNbl1kFKOZmn7KGsdjHg7WKIGzLIY6U4rU
vEZ92e0qr65OvlOkUei4KvtV2qLZ073cfPXj0nV39L8VHzKO/UPZTNG1F5F/GXw6EXKy5qck8JGl
M6yXs8XzDUWty2+dbeJp9wt9zcTc7XpfIw5XBsbPzmAeZWfo1bnHaXIo+680GBOFqNF2Gd9BaN5o
OfaPdaz9u8UI5p+m7PN+tTuvkV7e40s+dsZzQlj7DXMSSw8VbfZaCaAgNo9djcORwsEdeKkKjEwp
b5SUlyxLxCcyn8wrsWfHP3gdIhn3xJhijAwMzJsiqUJslv57Zi60uafyHSNedTXi0vniI0ZvhDnJ
u5HWJpbB2XqgXtkM4fhd1wt4bnIpDiTqMYuW6Uqrtq44bBUJVLw6bVJWD1VsyRfP74bd5BnIuA1N
EYarEBIDV+58JjBbDsN6a1SyPjHP0I9AcO1PkDh5B9e1Xrb9OARfBE1RDJ20tTeTVjyTDUlszou1
/ZBFDXAUa5iCxzyGeYuJuApHU975UTty2QvbxMmARGq7hMo7y9+J1Gh+4kO2OjyYSMFR13hHhk91
qHM9024y64d6yeuHbK6bI64q6ziB0w0BoRjhSMnkcohE631lL2A9T7Rc4sskBvnLL4z+rQDXvo+y
+pvT5N7OUMGjtACJ8frMjn0HmRP8myN6huoUttW6NU4u1oc09JBNIx7azfKZ1m1B3A0M6Nnqp61T
8XibkZG4NW2ONCpzHiL2pnuR8rDuoQ4pJstEireyWdh/4EbobzLuGw6+7Su9t8X9gGmjDiPGRQee
d+V+wFnHKZ2jkQGD4GgB5rn3hDfxVPDSNzZoLoqvQtBu5ujY1ypiipxBUPYEFOyTk1PewZ2dP0CN
wScAbUFRJWVWbF8HPe8yjltPLrUpm3GR48k15/IeFWIN8Uu35eYIPKTNJUGBzKxDZrKsYH5hMz2x
U6WtzTLHL4OZxy9mVuUvtsUe0MYwYIeMmpr7OuuCy5K57FZiJzqZXo2PJDaVxOtQ8QRDMo5OWMlQ
a6ZYqrPqsFgwThNpzxYzqI6c/WL9U5LK0QEO+24WWAWgZ95FAzzICXrc2aFSkpoNLa+IpPMtaBBi
gyzF6RU30zkp6TuL2fh/W1C5le0+xy5+5N5Kb2WK6JhL+1xknvhOx4CFzkFbO0Uf4Ki9wv0mlsE6
zYZHncyYyG1D0+aulst7m0CT9oxHn0Y0NM3B3eaLgFDVMJ2punI8mNRLhxmW84kjwiXNRbHLVfzC
ZZF7OgbskJNqv5U5mxsjT6FlpfKqHftNaIaS09ABCM6yfJtlPlpgkfPGFCOzgAJ5AH9Uvak8kl1M
remk7P19EpfzmaHDfTLb1qtsyzwL/amiKNQt272gsiJcjIlG16yX26WaOYPbxcFDQNksqZJvs2FN
CI+YEgpyLbSEeveTm6xNm2V2BUafvdMwurNWt0tBFd2xJpFyRsA2rxTLptshHm0qdloeczpJT2nt
+ftZd0tYwxQIZ7sfN3XVxbfSyHmyZ2q+d0xenPLzXbpQhOo2ddshBuKy+Cf/2MMfrst/rpP4q0eR
HKWF6YK5naS4mPPhnw+GSYR8AIkjPalCc6wzJrDv7eKzSjvAHL/YZtl8UusO5wqfQ/afRDr/mtlb
f7hrWnSA+I4ksvqXH46Ti0nIUqcnMQH6X1QLzCrNEwIIQfb071/nX5OV/CjglPx3Pf363l/ToylO
KHdKoGOt8MVyx2dkhms1x9XPf/9z/sX6vf4g27MDDv0mOEp3fcP/6aSdwbXAiUKNa1+jG5MJsk9u
/xu6n3ZQ2jLI8UOQMBWf7eK9Xp3ZrCpwLQxYN2stRsJv9+9/pX+9xKvTjpgapCLOtN5fzv692flJ
xynj1AD6vJorL1gqxoxUKgekpsw4aT8J53CdBVCM3z/7v1sZuqafbaWrX92ftaDf+s7/EYr+f9KP
uJ0x/f/fnZy3qu2S/xG+Q/5Jyz/bOf/40r9LSJ7zNyyZrseUxGERAoT0v9EDwKuktTo8TQyS6weY
C/8PJcn9G8NWwcfKN6XFl/FV/1CW5N/4qwKBnnIec8Vh/VfsnN6/5G6hZlloSnyiLNgDJFD+fL97
GSlXejwVoECfwKYI1gP4AnoH9t3QkknrBlpQcBN6CTNbNGXwIBbQODawumdeN6KT7uUyFdmucqq4
ORp5JfAw1ENZgChKpP5BebJ/BzLOBmC/RsqcnGSszZyF3SqMa2az8kTxF9HEkfgH4JicVbtguHUX
AL99K1fkX20uUbvDwIQzfizheIrEst8RD8StIJFKnRpwE3dldPj1wQKD2UJZNNYvkRFnmEyl84PV
dMFrLwU/eKxNPkAY9aanmBH0a5GK6Q+4K4V/8GVkPXktEdsyq5Cr2spHhvf0D+2bAr8QnRB0w5Xk
EEsGHATo5gkY0YQQlq3ZuE2NmY3dtBW3R1NI8YzG6Lx7Fum8qjL6oxwS+UJocHooJSE2Lc1KUyOn
xS22Gl4/q0r0qtycb92QBAD6HCh8i3Ww6B/AsXgHSputXqrz+g1SkAkdWLb8NXsS1aWoHOd9hjqE
wB/zCziCPpLNiBvgwZQxiMco4anZ0xJKxjSYeNV2xs/0oTa95RTNRBvyNcQLevasNxfk6KVMPBqr
M0PdsZMRTKdSzA1ROpxkFZCxwqmz7hPX95P5E4GAYio4X3Bf82/+uKC5Sdv7NiZe92r16xWmjHZ6
4JJq/Y2s0TzdjSy2YjtlTK+2HJWy9NEoaB8jSab4Lmzq+Kev83wJHfpR03BUa7tQAskUnulsA2/0
DC9e03aFg3OG3Lr5tXW1Lfd5sRhMYcflVxL1vBPmUAavQHWfukU7e8A5mJLw52J3tbR6RJ8MbM5U
jYH3rbCeS7rD31a9kbu24EbPMCVEe9RIvtMSWfwTCDa/W7LeRCTgyF+669LsdQN3AzttrmwgO4pG
4CBJ5kCit6+553WYjGLNzWeAJthGw9qg7Y3A9nkyjfGOvbm4JWhU49YLJi5wVWPJxmQQaxw2qmYv
VDIaS8MsYJy3G7hF3Y3gY3lX1QFF9L9j7wZMVYn/SvJ7p0tPprjIiOhKc0XWlmPBHRMJ0KETterx
ruQ8SkvRep/MwUSBy3qJfMnYqXA4BvtC8806WoYPJCaCHZuz9DAPQ7CrbVG/Md2LXn/fwqnh8f5m
hLLpqhU3td6kkTsQDcbD0ocjSaaHCR3moSD4Cxpb0XdA+1eAGBfwxnUw62VY5z43TM8W/pKXLv/6
90cC5EF6wCHBm4ftiYttsnCQAmnesJu1x8ap6RJwe6LQ9lhF8B3MAdEKkhvRwIaga95SL8sMcSbd
bPkpg3xnHDZjWvByTJLiqZ64oA0lo3weAMZyNCb6hlERixd+EvirA9WEh5kMKDV97IpO5LEBvQJ+
vVualYXbpTPfocI2ibcHvQMjgKcT+YB2G3vE8PXMehovwdbMa+/oktVGbIYAC3vY2EpgmC1njozX
K6c2HvcLPIFkh6+QT5jVgtQFTcSKVVhgZZ9mPdXXWPXBLp3J5cuZz/LvmKVfZmTJwQbzfRg62Sdo
YYywYeg+myb9PB3RbN5BbMBPNTc6xmw0u7eMVpFjAOP2EHWJ9exJ7nnyWGNEF41qly+apIwNsNiS
J7nwgqdsTakbgcWFgsMmniOToeI5rjy85LIs8uRcRJA8KYSHvG1bGaHYkauUp5H9rlOLpVlEM/cU
nVrc4LO7cFnhbDnv5hjwCZ+AUD03/Uz62EF122YtRr1NgeDHQVN3we43mXpEsHDR1xtxS9FVnwso
dC1DcmK0uyFY7xx8KdV8tlXLt7fiSP+IMyJVaeJwdyMZPROmCl5x6gh1wbbcHnvhmc3+9z1vWzZf
ZHa8Znwp6/3fey6iazoEr5SDQ5ugDIgfMYyi6R6BUGQTioVmfWt152/zRK73YzCT6a8bP3hFXuVC
/rGkKS3SYlt7EG9xLPptf1K+bgi+ISK2u1oY4sF2+XRR8hEooIm8vZK2tt+fuGLw7dex7CZk7sZp
k/3vlbWqEvJwIwStV5FiTngd43jOvtKhyzqR2+sqJQaQyCD9nPdgLYuF9ls8iqS3oEGXP0pogKe2
BnK28REoeDgzTkEW4dh3GxeHhSxn/9CHfuXXhDkTJgBAY+dkPrL8SJjmUBrYQqylypUABrwEl6LU
HVqIR6sYb0ka5I+Lyn8qM809P+S4H7/yKCVU2DkFl6g0+dRk/cRay2eSgSxLDISC0XLgKzat+6Mq
i9cqFu05iKYeNtLsjxP7ENk+W7aPrL4+iLD+0uY5xzUO0d5/EIAOIz67g0RMxpCP97q7OXDnLswn
Y9IQcfKSeo2DcFZG3xtaIwyrau40wdCwBYpuemjyQAIKURjjsevmk076GgNx0BbRg5nY9GYG3dey
6XH7UNdtuF7wAEsaNzeuZ8t2zK+zm9cGz4mKKdBJiKpgVV0j+7brktg1ewvYSV1sLdei+t3THcEW
t7FVWFdWcRQCZt4mtWv8zHYm91lpDYybmbaZPd4Ah8ALhkZvpELHKmsMDrOLF+oYcFsC3WPOTQbZ
SwKCqfZy70+dd9Yq4DFHFv2YTgbWuWIUL7YYkNg4Sd+nS+afqfDm7hUQ1d3Er3YxdQnABWoqQ1Xm
9RfsZHQGw+Anw2g40zvZNPUye8WLrfDE3eWNth+bDPe60YH1AIPZBnt/kANx5zb4SHxEVD0i3izc
ZLsGMy+enLnFqKuCozlA/JynDt+nD34BqLla6QxaXf02UfOV98v9oTq/3C+kEHmOpyb1VeMLODmC
NwygDl40fodEETqp8j5QR+anxJnLrcDKt5eZR4tP57SPmlMT25/S3TlTMX0C8ns2SNYgiGl99dNk
eWRQB77d6wuQn/hhomDw7uogtXdxo5+blaq5aV12RjtdNNW1ox0eKaNgfzKClo/ZN5z7gjYti8Zz
pqaVPmVBb99VErmSN63cQVZ2vuDXrfAHND71SOBkFCsWKYcie6D+ceux6zSonr7nITCz5cMsEvuG
e8rxdz7GONgkNfZHy9DtwV+fEHIm7DDRMHFkVIxSk84GxEMGdqpug+uiHKiAJBqYxZlPcDKoiJ7z
7gU2n3E3F3WOH5TkORoZe9ePbqANcxtBxjt3U9mgnHTVNxqhOrZ3PVQY7m8re7bayKdaUBo3k0Eo
1Bzhoe7asHZwIirakE8Yor13Iyu+TUaTMVrA9RsObav3BoEdMmIeGFMqefuDSZVC6PhZQzY8peMW
TY84UNKdqLH+USexvbOYhYaiNld2PUmcmcby96jFv7EFmj59Y0e8Y3fdshNMzXI7E4Df0T7tPhPb
FzdW/rbYpZWAN5Na3tHUkzxgwp+32poJL4z4ru+S3vAovJTAM3oWEr/lvfsP9s5kuW1k26K/cuPN
4UCbAAZvwp6URHW0LHmCUNkW+h5IJPD1b4Eu17XkCvneeNMaVGtRIEEgcfKcvdfuHP0O5XNm0NzL
mpFaHFVYchcHhkIBmOR2tnOnVoZfWfzDTZSY9WoC1oFqVKIFDYmbapi7W8EWgpjGwtTEwFoZjz1o
JCmRniICU6C1NaIViiB2IBHhuhCrruKW+yK2uuEB5Wq2n5guE41HYNM0ddOaiRf/mbjxhgwu/eMQ
Ko9LHCSJrR1iZy78WEjz2P+CMTC8DOv8GMmu/TSbRi7yxrsSaYGlgGrgPu9N/RGDgQC0yt6lO6R1
PSInF1Wv7/MUQ9NBq41pxp4i0N8AEuvrYZ0YM8oWnaQVXAcQxKhmAVMulBOX3lNAEEmzI/lwqEaW
75HB3gJB1GRt3QT1AoHuGR4tACGaPpAV7ui99eRFOU/d2Zkl0HHPOS1wFZz8otYb/n/KrJxGh5N3
HleP6Tdrp6cGjZqIaqsY2hmXI22eTXFNGsxBNyZ1NyIqPFGLZoB5kCAwN6M++2nH/5/03gysBnOK
qolthW30m1ZRHwVZXAHi3AUlMjaipUpLfZpmHP+jPU5TjUjbpxopCydDyoa55HdZsr82qwzbA0/A
Hh4YBu/iDReAvAujnCDX7hxFXN4iKIgoWPW+EZhH4tyjkGIzqLaxFUchTrxgKtYVJrxjWHTGydN7
42iXKVXlf31afMBJCGkEfY1f+lUkRQdllNjhroAUu2VaBft4ts/7VGSAY7rYpPLp84niSJNh9fT+
0c+u7J/d6ZwMDg/32xOU4DDBXzc0CiI7GDMRkeiMGVuhBC0MQ8229vKELyQaHdwp1uBZp9QNtL0x
l9+FzaiWiX1dAU0Vo0ynBfiMMNp18w66qkPIe/R52cMUc5rXb97w3L97/YYdWnuOi29X15lqzH/+
U8dR+mGsWZqXYYWR+MD8UfUtVsK0omjCfl9jOs+xH6q2fkb0P97VHb2KOmIvH5equcuL+jfAPGPu
+bx+R4IayEZsZLtYfM+X3U/vSHNqbeqpG5CkguNaCA2WFmGbQKJo8aB1hxpFS8Ek84KupbWvZlgg
MZ6Mt2eQL8bVtpr3YJzZ90+V9XdvTNgkZwnPELrz1pHvSp1RVFNHu0qEVKghMQHzVJIgP1dRFVlt
cV8hUbX3Y0nZio6kbNMDLGR519sScVIkB/9B10d2y8g7qIuNjm2sFrOJCu2J8j0O4S9kAbOkRTP3
egofzMsKWjfdktRtFIpVGoNfv29K43xQd/00dwGKsVJ3MJrRXslkUjdzHfccFzSLCyjiKfmRbsUO
6P3TYb7FgiAUIfnMxl+HSE1AjHx95ZAlV8ejdLWtFRGKgHR7KqKD189bnULx7ln4/UssdlK7L8yJ
5onKI97WiLzrXvmCsxVaaIWWznSG+tn8KyeLvyt0yiGOV7aUllnNXzbiZHXZD7DSdmVIB4y8amxn
6xADxW4ac47umCnNG5GOkiuEDcHX84f9pxP9OyWjhbLsp+vil/CE4zf5/PVNB/r8kj870IZhf+Bm
tsl3Z1VkPfx3B5oRx18tZ9v8wOpjua5gVwIp1yC4/EfL2eGPHEHLw7NNOLncdj+Um38+JRF9fldy
/s1TE/Hk6+VFpwycD8NQA4oHI7U3Y6Oos5Usmsq6coPWfRgH29mPlkHvw5ky4k0jGIUIjcsDE6fa
WJRGjeFrwoc2UAlte7OtL0k37M1HwPDpsXSzJrqo8dTh2K5q3NV9AxLDkrZ87FK2kV04ksBTjaZa
+tKTpFd2CUJmERXQ7IbRuGN7QZNZBvKanQo7B3h7A0iiqXFx9DO038Qsuzu3IWelJ1u5X7jV2G25
OapyUUWJSgmjL21G6iPtP3scXbGJFMLCHTOmqaepmYBy7Bnlw/pO0681M/XrOHRkjrYqV9cB5Std
J4AB+oroX+R3YAtTd1+OjT1tkIGraotqnD+1Wvx2B5J5RlR8Tj3uQ8iAySrPR4UqkjdIPy2YAFCW
NUl+t3TCy1vfTsK7KUnldc0+lvjMrFsNEZlzy4Cw9G3CyrnL/YxnCAhKHpqxArmJdz4tVoAZVVdd
Wan5EXpI504VUkO97OpdYDhxv80DExPKllljSrnWxPqkr1SSN4W+TAtPHS13ygtjCZJE29utUQJr
rMIai2XCNKQoUsK86AWrT22V2a11J8kjWjQMV5j/OnEg1TGlGeIHa+avjc94FUPWpkKZF7Ih5NkF
cxs3O/WnMWobGRB0NiydtrOYwtU9FEE28ZqMViFdQrek4B+MAFYqToxVbbdyvnBgw1PLO2jeVAIE
MIXDn8lD1/V9pR8JJk06C6hC29I8Buo5mENrPIaM+czpScXZWDRfia7qcnTe6TRlwe0/C95ZAP77
Bc/nQffO6O3b8K/dM+3pKG6Y7n47/9L91//9H1Jm5lf+mLzpH5jhUSew4pmsoD+A3+YHZ57EMUrF
1wV2itXnB0TF+WCxOKFhpur5kwX+5xLI6kiGCj8OmcVwPArL/2YJfDvMZojLLxLwbllSPXgur5/b
WDUUgl8uv7TAmGJNgvauCB9+Oil/s87yEV8VceeD+Cz5M/Ocf7wpK7tSapXvk6GHLqxeKLedVpEr
3SWayG79/qF4NPxyKEZYjOVtnQmj9eZQJWTaOgmtaadk3C3iLE4vTBMjELRnPJRh3O1yDIaE1Do2
GXNon98//C+nE3sK5HTk9iQBWXBxXp9ODPOeM5B1siPa6WTm7icPAdf7h5h/xc8VMcNYAnR80/V1
vjdED68P0TTa2NM7r+dx2kk51gOpLOWyN+FykJL47f2DWd7bwo7DMT/wnHn/5BF9xCj65y2BFdK4
IFWx3VGlEoGV5gY8Ql/LD6kT5IcMDIV95hbaYT0zDC0MeICefHoN9FN55rW4NReuGRo+NDIv3ePP
hYnIFt3HHnVmJbZnbqJZGxWjVmiKTeKbewYN1h9mMmxD2XZIEOdki6bTzQfcXtWsFO9z0g4Q80V1
7xMxnlqrXh/Vw5gQmx6LcAgX7JSbaGXXfn4S9HA+EflYkq6MnDgIyaB2OkLnBB2KhbTx1/Yhmpme
CPdFmPvBakYukpvo1BvZT9MeidkVZjS5sfL8xXazuzK2v4A5uO0aRpiD7eWHSlefQ1rmHCIRJLny
O0nZnlZpNdVbOmwoVYmpcNpk+NZEfr13idmtRnBFMdD4tW0S/zqUgzgqnOfINUVw4Jn24GpGcEii
GNRX687oA/nNEpoPhLeNV6ORJHgG6vDUCRgwvZcudV+GtOtCdE1DIMlfzIJ1oqvoqmjJU4xwhQUe
1BsHc0G6HgBYjASijKGPgD4BIBKXrn+qXTZREcXXktEUrUZibiAsVUZgECLbNOKjXbjapyiVzTX9
dX6Pp5R5Ko1UXmRN3O8oCckFgviVL8zaiS6CvG6uSuLciQet0w3aKi6RvE5u6pJEuoQZ+poOubkh
MUZ/oA0AlU7WCjNZbPZPfayDf1nqo3GpTW54iqMaJCjtMyiWub2KajFr/mNidiYQoZcEtja31VQ0
N3nTXgbAiZ5Q/nUnG2/5DhuXcWUoS+zygmsBM1S86btCbYvceooIOMSDGOMBTlxLQTuL/VsdVuUW
hlxzNYVaeTPDa822H6+Q+1f0B8mo3zQDwoFSOCHwYcFG2aD1tG18u79ApQgvf4rETey2myCwyhyB
Ln09ongQGKcRrA7nk5Lhwc6Duc4cbslB/4gdn6RbmQDwxLh+gQQsXcQRWxnZh8OtFgzG1rRifWfo
QBFHjMF7h37/xVjqDAv10Cmv85HnBle0KUC24iu9ZTQ/PrcILZcZN82lDBPtoguFCc+P3qrICHlh
UsU4C8moSxhOzdHC1KIj7KPEhxKggPvQ0z8ozQuevLQrmJWBDQ+DYLhQIDuXbtkPS0FnC/iyTsp4
mmsLkhIQQAe9WpJh7i8skQ2HyYyMS0XHZBMkwiejr0ywlZJpKtzo2QqsT74xgbnpOv0uVqO+M6X1
GbbTJU2J8J7mG5EsLmcam/Khs0vUtUHakA0FiCUgPxJjqhEhB0mutLbGb1wH2aqop69x6AFCivSU
jK0glPtAC/u1oem32LM3nSrDXaIhQS/9athOcGuR8Yr6Y2Nobr5o20FbVSCpNz3S3edWkr9YRpVY
t2pTV6F1cpzKXxYM+4p94cr2ptcq65l129uzK7ew80cIE2VENHyEL3Ph2NV0DLK0wwkQVOPH0vCy
SxakaW8on7rYdJ6acgCB5HvaYvCCckmAG05NPboMvWIb8QAAu6TLjiArOkBZbhTHNvf2mTQ/zmKD
hRkYGHCRagJT1sAhacEqSDXvKgzSb4FihDfV7drt0az0OqHESW/J68rG/Qhdm3uPJUFcx2OiLn1B
3isA9WZneXG6KodpeCzVYC2ohjiyjrx3XGaCGwiLt0pe/ETLPhmAbk8Q6e1ba0oEokuCz4wsT9oF
Yhv6rlnUrQVaWO4Tob6yYdCu07qgK9YWyxSl7oMDP3k3+ii5l3WTzUg3ZbMjYPXIvJpN1+TalyQj
DzXKmEle562n7VCrkZVVu19cwwq7xdzcW9WBk+BP9dxT1ipjWwA1WDemPeK2H+Odmdq4eYUf7XAe
IRBQvbNzOse5FrEBWVMLw8+eswahOm6zMeL0y0h9JLyO6RgBwRtOUnayPMS+CKPo6Wldat7btVgL
OLCfOrxkn5WE8C0aMX1qC2sFSB3uGOOP5tgbVQeiIuHKg5u2s1N8xyDftBUPz5eCXjyJZw3Z20yI
97CEh71MLNaM78hfvKszANicYcDnR/0/XY3fFvm0GH6qiv6mqzH86/Ctab+Nryv888t+VPjWB58m
M3kRNjGDZ7LhX1W+Q5XPguaSGUkTeK7/fxT5xgf2kC6ko7mcc2mM/LvP4RETNAd38Ce6Td/zv+pz
sDN4UzTCpQBpC8GT7CDX5nZ4XcWZdcMjDqvxzpcaBoeisbo1itUmvQD5T3SC3tTyPiR46lDqcdSj
gSu626jSZL5NsRinmOYllByU7sjxgx7Ea4+z0awUUxNQY/Et4gcdz3thQT2vWWKUNoC3N5Bxg/gJ
TsosnEdu++fMoODgV50k9+d9l5bTbdv4p7IKwQEUbAgWJYm6RFYb6JMb6qernqZMAaTCM+5agXei
qzrGRKmRCFxisXlXFEN6aBu85SWZDN+FzYNwifxzXHWEdIuzXDOMu4A8BGB6mv/Smg2MkooRybCQ
OZ6VUNIrQLOWYv2UUIqmofVJUmgT/M+cqHTCota40R98//FSAzKLycuQzd5Bqu9tqdf9cpnk/X4C
QLB0rZ4Xts7QmpCOZju/QBbof6IZS5JekXn6o5tjYhWV9JeOSZpzrkOIhN3b7MlS4egGTtUFjKZx
08advxzi0uoXUec3MFzimODdoWWDw9iUGpjoBO2p7y0sKV3C/l8gKrxsvNbXt4NjZMifEDigGe+N
x4aIHZgbCuUET41IXXtVpr1M0eAvlVUHhzRS0VeNxfJYoQjdnt9fO78rruwGBhh/35vwC4rFOVLb
FbgFN3rTF9u+J3gZLQb55CUnufXw+BSTnG2tjFh4bBk9eeR9R8D5pTCDKNoFmZFOO9HifNpEjgvz
wZrmciOhaQSbsEwPk13uZWPzlAT5x1IZh+ZjpdFX3BjV6EHpSYl/77ucawFM1CHp23bF0QEkta0T
gyiGfFkSu/7QaFZ2H1XN+FhXUXvpwUc6JZNEx2+ZjVhRiFqHwunDi6C2o0/JCKEPMbNzwZY1XpIc
x7ws7ajeJSCsZTI52tpBn1dscQlir3RqMFSMJsWMfJueJmLptp7d+tssM62XQcCew/GY5+S3oUyl
B2QmcbrxE72LjmlW8rt8tGQbUQqTcBWbXmGMiqcpXUjqYdreBbk/XsXTkC4tHiGrqdODq1wQ0LjE
B+Btia0zNg3yngfYuuk29xQKw1TMcCTVxbm3TQ29ve9K+9HpMigyiEDoh40w3GU9RIukn7SJ+X92
lYfB1C1bVOgbgu3BGrpmtUSmj+8BVRSMit5rwJNk5U0rJtIANAuv8zhiloxt49CHhY/orw7XOfyB
GV7VrcmJmQ6Yypi1p9jMlkPmWB8Vs5QFEhv8MwGiSALg6W/abcqNYRaxXDJqTTdFJ9XaLDuAQzrJ
AEiOWg1kk9Ve9ViKrhUJoxeFNjg3CFTMNXAWZBy6S3QiW7eMDANP8ykR/DruV4PS3Uc5afFVYBjh
l7FJEpo45R6VB5KXanZ4ExQ1QB1iTrgYE0sUS53XPE+1z02vJcDAd2GZ1/c1fIZkPUgjYuQt0e9o
aTF9xKankyZSR0fJJuEw6VX5gPtw3Jq1S+4DlscSDCc5WripQaOTHp11MErIb12TP44hZmChMBY9
GaorKcR4MQR0SiM1EdTL57f2dFFVsq/y0m1XYgqbQ4+/i/2v6JkCDVTii5zKhs9f9zjwIzJQlm5R
NcsmM6OTwCfPpCXDDI5mj7Fil6REgDdzQEdiQlizRNUuyUlR2wgpJqT/HGy5XpNXMZr7kr3AsSRG
6IQ5hsW/N4lq9weVACwqiA3GhDI1NGhTYH4FO0YmYNOtKSSrUiv64Om8stRpF7z4SLIPWckdahqT
AVJtvouY2KM6mVijmiH3VkLTWVYJXMJgitsfj1wpiq0iTnwO0zBtbofBvDOc+UBY4BTRry3vJGNC
ejXog6wW0aD5xRFN9XiEs1SOq7KcujXK8Omq8Qzn4p9y6T/riRpzU+39nujVNxV/eZ2jDVuZl/0Y
BOkWcxxbOHMqn5jbon81RQkd/EDfTlD1UBa5Z5fCDyuCy4uobXyPZtabeolSymQGiQSBCC0TLcJ/
0xR13rTxdGIG5iYiiVVMmBCTvimX6sTOpoFR+2UDC2V8tkubjkZhu5291pFvsNhZA/v+cRcz1s21
fYlo2mnmWIhih2JQ32KQG782OA3B1+iVs1QJwbsXirSMb2xq3FUskNZMNXrDELIuT5gM6fg9OonJ
65E+96ZJHlEGkYA7ewQd7FCETEkEVCzWOvdWlr2EZQ0BHtDtvXWOWxMDdIinzBqymBRnW4PI0YBb
KvJD7GnDkiwPduQyd0bUXeGERii6FLKoK+8+Mt1ppgfrnsWaZQD4oXuHDzVvTy02L2PtQdLI9E9x
7XYk15Px65lke+g54G00zykIIL3+EqH+2rh1Nd44Zla4y2kcEl4qRm36XBWYJ6/+uQH/wxtQ0IR9
/wZ8onR/s1uZX/Rjt2J8oHtnejR0QcMILp+/bj/X/+Dio7MZhgoPnqKgwf5ju8Lsdb4pyFpgG+0x
7/9ru2Lr/x+wO0d/3eE++96wEtJfZWrwtsNNlG0tdT2k/vPAmTDBC51rqxmq45QNv4uC/KWbzrEQ
V2NmI6qQGc2b+Qe7Fo3q3ij2Z5X5JEd8AlQZDyNn4BIwh7/+6au4+d6nf88kOUe76oyuXR2DK7vC
NysLxajpYqDgeMjDETOgt53j4RE2d8q29kUX4P22lGecBhGbp/cP/nYXyMHZBqIiJ9zQpa//5sPW
GlrDsqVPNRHd8zXPclaezJA4omaZmgom/4EIp9995L85xQ5nCxXxnJTxiwira7ukGTwXZEluqJuU
BtBXDFnINPy4UTehjgfi/Y/5ywEZnM1PF47IjMR5O4RJdA3uGrtK2jhBeeHOBJWR7RM6Xkv7bAVS
PL1/vLld8PqCJZV3nsUwruPkmm/DS8fWQBQQKLnrS1UjEhZBa1Isz3Yob7BRqIx9bBw9Mm/37pga
d7BEioeiQnI/i6smksLc1r2DbG/2i0Y6PQTqeatCP1A9opn5zVWApOvX94uzjHufyQ5ti7cZPgW+
Y4K8OtS5aKftE/4mJ7howwx9Y1jOOJY6NIYDJfGYESLdOcaJe3C805AW7kwdfM0h5sGwxx/tPIdW
i4SJ/FmupTbAR5MjOiV/PCJ6SuomlqDvzji4szmcYActFLoJxElaE2N+G83J21QOuliSv7VmfTba
VNqo7oxOqJsgnk1sU4Ou/w+PEpvkz2ZSco0610wuGgvrhGCVEKuY6Cp/N9tsPoE39wnCaih5CQpI
arwabjsSzEJEUmQY37hKiZ8n4QpsNewDX9q3qhiHy0KPEIyBDqErQJ8Hifm8EDTjbLFTslU3GvSR
Gz+t8dIoyM5PfWICqmow3wiZInRSUuJOyi15o5MylS/9GlbvErAI/gYgbM9eo6s7pGnIxXIZYJiL
OnWngQ86OR3RmPEUO8+o7Ez6yPienkTZ8QwXtoHO7Sz56+2GT8rGlzlZ1nJAv8AsBhR0Nih5A1l5
PefRmyTnrbGNU+/zpU1e7T8M9eQ8n7VzZ1VZDcrH2sCjQsTqq1mNek5M/H6tRoxP+2VEh7W/ilNF
GZKQi7vAWgodc5RVu20HiYBLQwIcHXw3iPN9Wmt13i0EPet+3YEl+HSWt3kV6+mqS3v8KTleZrEg
Ht1+LmcXZRRW3PyzKsxHi/9Q0SJmWFDMsjX6MJD+GbEAv5sNUFZVqht6DNXAHsnklHJ3V08KgUe+
DFGNzjO6hi/JjwxrTwgmVpEB7PFdPNg+DhLaXEgvOf+26pyl1Xv2Okpdd0V/PWqXNbq64/lnuiAA
tDjqCevGFO00PutthHtuNYS+v+nrlgs4mm8P0aVDtWvbJAgugPcQ0CbboQcGqTwfTxskCLpU1FI9
gFuiL44dM6rKWXh5aqp7XP56gz62VIHc4HIcZ343LyjALOv7wehcwtpCbKTRoW3JGsDj1SfDqg61
MbirKgS8iwhfJcbLqO+CS3PyR8AwgI3lqNUSN2I7xTcDjIEBNQuhgNu2QF3UsuUEPwA1Amm91Jal
nrKDdaTDeW5PlRVE6GLRdQeFP258mDB1VKs9E19Ip15iHR1vnrXIYcdETTE6KtVJQBIiCoDprjC1
8Wg7qVi2bmQ8tjrKc4ZFYtGNygAKHHV3Q1Qz1OroNX7u7NS3ub5aegIg7dUFqkG5sz2oMoteh7ex
0MvpiA0p/Fq3LJs0O9xDEUfiWOkF+u1+ssdLA9MgX7iaA58mgo8oSqfuq89wcFi1GtLAFRe3D/wL
y8DKt2VLe8J1gwcLGxDydM3+COeSRNumfi4MF9g/00l7Vw8WSzY6Ui66RpdcUmNKMkpk8B8L1mUk
iAg56E0EhBrthIaDbZgabHgt5FiHXszDDEEnhjH0cmfhSKyG9HyCh7Nrs7KN6olkcCLwZDo8q9IL
HxJHzDZZ/AuJpiefMLdxY53tmYHeYg1zLYyalT8r7H3CGnmMlsyyyc6NoR+1fIxwg9Tec6ByTLr/
aULs+jlvNG3aT5Hde3srR+s+WxWYVVmN0aQHgQP7D0icjlg3BZtyvwouB60KbyCxRPvQ809uFNUP
Wdc8jzleKS5B44HZEKGXULKOjI9Y553KiA9+WZmfey1g7pdFM3PLH9x7Jo4puxs57B2rB/VuDTUJ
E5HhIgcrG2/j0+a5xrmn+s0EPCOPvGpVqhauB1GFw8oe6ZvA6LAdyfA8KI4Mmu0/MsPi5yueWM1H
QlHN4A/fG+JmUddVUG4mkkMyaMNpDwMEo/UlIq2eU5eDrZzoED2OrlfuYruA4xJZOqkxGCddA5L7
cjSD9gmoLrVI1WEMtwYwNqkh+VprH2l/TLYMi4Wdhc2RnuqINjDxjpoaeSzkCB1WWibar99tk8Hs
e03FxEVDK0bdtaHuzTze+VKiPUbnLyqNI5tY1tJamKzpic/vOds4RUdMbDvw1YDE9Wffcg8fZEHU
zLCIwXaFNN4LLkFlEZglsJ7m9BFT1vtGNrsxkqyDZG3hy4YogVOdtu4y8UqOnPAwyZdocrA4Wxxe
OAMjtHOaLdphmq7BZD9PtL3w0s3LpMuEslmDx5sv/UEnvLgbCq9Y9NVgXw59T4v/7MhuOq39Wlhk
ytHWbLgizKnGVp7xfGxjh3U6pydFxmVdYimmZexSMaCrFNvvb8soHATadZRQSQSaxuMLPXN5UWeY
Ms9+7E5S++YexkBjynAY0xsVRQtwC6foFfmR+B/1xi+fBoJxomvTkbzrOK/4rIOcOGRBA8u9Q0Sf
gQ9il0xIzyKLwrkXOXi6dN1lqGxx6NM2Ia6idsb7QCudJxEZLKxjg78c/JCiWZ71Ce6U3ghPA3tk
WPZ6Ji5trK8t66Jr3Gelph+qPtJeuqb2t1E/kBbLe6bKObuPTTVwWXgZfYRl7Xd4PJvZDh/OGYOb
xrURYocqxvfQ1KDc4PnOjuK+8jCuol/oivtg/kaTxOJr6nOuuKzla9SMml1DZ05YUlCUVBDQMw8h
6oOhjTbCJh6V7nAvrFjr74mjygQo+CEKI++OAa8veFRh4Idr44UYbDZjCgTb+Jh4VMuEpQ4dwCID
hwFEO2cd6zY5BSRIxatumB3uYjS3OQ3WAVFPpB9Su8GRn3dyGWvRuOYvhAzI5g9ZMlWIPqL6riR+
b5/im8d55ccHDSPIQrYRj57Ry3eIFCBoKvDpWT+cZ7xiVehwq3TXvyDDNVjWCEhDjyXdgkK7MfTQ
WBGmnC8apep9KfGBhV1m3BU2Swy6EtKnElqcJB5SkXQiT1+02HY2niyDnT+VOcbumiRN7sABQH7x
UjQE1mXjtY/3fM91TWHQ1/q131X6NZ1quZJ6vhTtmO+YEddrauMAs1w/u8qg2ND6HdbKtq9tvbOv
oCgWt3zbPJcLlR148uWIOFINKIHVLb1crEM/u+pT/IwWp+pax77/sdJEz8jftI6lhKm6xM5IAanI
GkYMuxLyxsqNOyq/Yk0AuP7iiMA5WN8HBbnJJIF5jEuqmLfTkumbUwu+ELvnFt6gxhuiVd7rWUmh
rUl0UzyB28UI244VJJr1Imf3utuh1+1rE+CWBQP0qk1xE6HFYrWJxSzhn8hLD4g2yqL2ZkyHhGkI
Zffq/W3Um6ab7RFzyoaDWEtQJAxT32yNgT8lPk+8alc556JfKjgDzex1ef84v+x+OBBBhvQy2Pbb
bNxez0L9IOr6pOxAuZ79/D2OmFONNzJjAgi1Qtjz1uW8HL5/3Hl3/Vq4d85xdYRgZ2qzU3x9XLbk
mZWUqtqpJBPkiOZEircKJ/UAuKFhelmMd0JErMW1nKvc94/+izCSTz3PkgU3OGNlBsqvdHxjm9A9
MUS5I2mFDQgAKfOErZAUCpfxC4Fls7cCTwvbkrnyxsb8w6T2j8LgdwoDlxb3T9/WLwqDu6j8+u1f
+zZ7Lr6+6tp9f+G/u3a4JLg3LIFX4btc+IeSmIYeW9I5D/HPdt6Pnh1WChPbhTe7lP5UH//QERsf
MA2esT2zKOGNbeI9GwVuzL+5tC3dhgeN9hVyD53Bn0WiNQtzk5P8sNPcFmL9GJX30PK7GMO2j9fV
dB6HXMqrTKvQwPTVYxY62l4foGmWPfS0fIrSVdXaOTKCvLjJev2BpxlpRViBk01p0/WDtgx1HtMu
Tw3N3WABGhZe6x4rBkALUxk3CU/aZ9/Kr1DOX1naADuiClZd44CwHajGM9l7DFbjl17v42POeVzW
bkVpU5T1QteguSvHpNzSp4vS12+E0VoLvxmeETwpVPXNerTxQ1A0vbRzXnVuheMaW/QRqeB2wIEE
RKV48VPoj4a8C5QTMasnes5Mr/pxurETQh9DfgobG8CC+HkkDX5VQjR0OqpwaXwhz/uxHttNmWFM
bAjK+cQ8ekd2IHZNouDWZRtMTMaB9HbWYyqzZxcj6kYPhzu9Sa/mM9DlNBFQE70k1YwKCbtkY2WQ
WQEi0JMK3Qg6hDyF1nDnFQpvKzrvfZP5Xxi5+lsjsndAGi5SRG77aeb9aEPLidF10h3igxmBZlAp
u75ovBsq+zGy0kOosuemThgZOkdKawodEtPXNh9osOMXgotu7IzvarQ6MooqTN32PNYnv1kRfEOq
JVt9s+REEczBw8UhIZYFLFrH6ZzaokmyHyvY/KE2n8sof+4NymF9Hl90A6XYfKzK5gfgQt4MrX7T
mcO2j6YLwwOwokn9onJLbSnT6MViJLJ2jPgqTdWFyZez80qfRIeYT1ji0JmCDiFdJzK0uORKkq1J
Cyj2klXEDPuyASZbjtNDY9fBInLUKdedlRqLYVlEDbrDkuhrzHxr4ui+eOV0Ic0wJr2miXGNuI+x
0v/wauvaR6O6FCREjwSQTA54D4xCJ8rmHRSljgvV2oU53xESB9IcO+R9PeRzCDHRehj4Pn0GbHRb
uBLU1JGla+YwhVv9oQiNL741MAcmoI9lPDsYrjzVTX+yVfaS6zBndTpJqz5XJysAm5jGMGIzkxTr
SWjR0qAPtjyfd6MQR9+3H8u6SDZYH5GB2O6mm1/H54QrBDd8sMQjaINxB18J5IqBVsTUqs9JQC4P
guZx1cxZ7dac2p6pMFiONWFxo9/JXT1HvYM4lfs2F95eSQ3hHw1Gok2q/LrQqhF+KZ6XnE7B0tQy
60tntJ9H2YhLw8OAylVTxrW9ath0JCsf1cYKlPvwHLglgsiwMjN2F3ZdPKRF8JAraiqYwWQnEm9C
Dy4KjnaRfgZXIJfswNcqEuNysuJV1Y3NurZVRFHJg5vgFHA3B6/skO249THTopsCbv160OyHUkOI
DMjCWcveeaZnSKpeQcuWTPpoDdl84bmofarJF5s8zgkTHMvgxugclJoFl/+UmF9KfAgYgHOm1VIn
RM40NpZb8r2N3AL9xGVIFDLeJR6/VJRuv1UmF92Yuo+uJo49fNR9IJsXbWguiCj/TZT1L31zCgSG
q1ieTEEl9rZEAGto02oizcqWJC/hru9Q+apj7NRXU2CIxU+PuL+ZhPwy5eFoPg80i/EqirS35R47
iL4QIwNTIuHKFfpZEMgWJAyLBf39I/1aeGFxwRLCwXQAquen108e4sF1lZWgq9iZXfrsz6LseTlO
jGFcknPXlnv+Td+8f8xfyy2OidaO6RKiO/75+okYWoUfeS2c4ZHAl7XTyhN9hmypWYTeaZBK588L
Q+yiaVnd3j/0L9ZkCr3Zzsioh30aTf43Yx4KuWFKRq/YtXlDTA+yuJsxQIDFcnFBPEm60331ZWiJ
4koHKQ8JYFpym5DuNRGEbBxAYTFd9CEF/mQ5Ox+m3TLpmzWpLaSCsXzjdidQFXRqXSZXhWhAFMk7
lYcPuhNhu1X2kdQkDXZy6W8dEL1PITOaJQXluHr/k/7NJQSMUjepZg3dMWcL6c9lh5nFPs0zu9hF
JjF0JdsmfwLm1dS/OaOADN+W7jP1khEPGkqird9OCf3B8BR/yLXqAwwk0OdmNOCv6BmLcCH8ZIWx
+qoLjfw2k+ON2+n5bTTj+OwpfKkl6/L/sXcey3Ujabd9lztHBZBwicGdHADHkTz0pKQJQhY+4e3T
/wsy3Sp1VVfXvGrQ0SHpiBRh8jN777WVKmhvckRS81WsdUTbTcOT5jkXsx0PieR1bzPWQUwJVbWZ
xfwmtsVyKGNRb4PZ9GrQ2+5B5fPLTO+LEj21zn0qS4yoPVZLlX6JUlKzVV5wFWdZHQBBfYmq9UXS
Mq99x+Fdm0cSB46EJYHRBDG6BQte5SRP+2JY72A/mDvshMaesfi71kYn5BrUWP/9gv3BG8bERoQ9
ioWrIFHy9xdsdbWqsUgyO64TgVGUEzNvNpykSDkn8/jfv9bWTv2+3YI0DhuLq+W6bE223//pqW/F
khLssigiaMYHzBznElXhX3yJP3izELPFAm373/9c/DFuJodd1xF9eGONWhPMFYIt4mfFx3Q1l0NP
CmourKOnicsUeSCmVXHW5uiV6PkP4PjUTpQjJL8iM49jxiGeeLyd6qW8Qa32ZXUmM2S/kh8Jh14Z
5pnEP5FUeF2kTjjK+ln2/LLTyfgEJQApPulkOzpfvEJeU+9FK8DueY044Nvtd7pIv9iKW7BJ85tx
zjFwxcsmcKRANSaqX4xdirm2P+r9Q6UEGdTm+k009aeGa+sPnliuBfEA2CN1fI3i9xdFiRq3xVKq
o1HQKIxJmfppjxtXEMxzA7ACyx7lVlAs8lLajK2iroUQZZS3fca9HOUkOTlq2E/ROjHbMaqA+Jk3
U1abgSQre5ePzgWQugMAy4Y6LLKAQSP5iUjTAjdbXnQxfVw7fQfE5pFEBqqqhn9wq82HPNFfFgox
wFFJfSAq+oAX5CG2nWGXtdyfBLJtiV4j9i4Ng3UZFd5B2OuLB9jkm7DlT39If/CQcGZs/xkY5cWv
kRdT3DBInUZ1nEjSocQhTmLi27HYJ0V1/BdXBF/ifz4nklOY1xo74S3l9feXpLHMhTSXAegbqlYs
ER1guig7R5xUnsH1QRqU71bwJYjzeE1lGRVgXJDbQwEI0M7ZVQpHXlqOTeghDcVz2fWEUEg4Uca1
NsrbwgMSnXjbYk9VZmDW3ccyWx/mYrkq3e0w5jaLzfw9cAeqVFSw2Uou/YAjaa6ET7kaoluU8MPt
y9f2crVmM0ht/qC3LTS0nk/U07ivo6GHy9Unp5l599cmKFJQXSdU5mc1TE9pTyMp8xihZEOrZ6/T
U9vHpD5ZHsmY45PIjTtCCBmuUa0ZoMRJzViC7f9oJb+CcIAbsh7GvWG1Xbg9Rt1sY96enpx4ayDs
XON5YndZNFRLSFdvUAPIwK35061mv2kyWLQoPJprz54/IsEIJpKR/KxIb1KTnsWbKcXJf3mTJSMZ
lZaD5tc+opU44wY7r2QRICXlAe774kxTjOudkyWNR25Mng5n6m8Kw36XdJM654Z9GTv2L6Jd/K0x
As2QHiZcTFeSyh4R6hvBjPwvzmPnDx5vah3sDmQ0cEfpv1QeBfuRRlh2eezc5aPqxodO59wbabNg
t2bBVn99bbWrTbbce1R6X595lfT7ZeqmXZPxMea9AQ6zLPRyL5Aj+GhWCGClMVKr0JuH5VgYnUaD
BhppF1tpiH0o/kharXdTt9jZVrZvYb+yUlGcF/7qmheh8Y7J+uVlNCm39NasfUdPB3+O4UUXkso6
pjHkPEzMigsSU2a72fDUE4a6a0X/0EpaUoTaN+MwPFg2gZ9V4cxh2mI7bab1it0VabaoWEtDI36k
Wj46HcyItu4fXLqDY546l5FDhCZzeDLRNWzVfO/+OF//mbD91YTNdLbz/b9o4r5mZAfv86p//7sJ
27cPfp+weWRdIzjdpqMmcVpiCx75PmEzdKJLtuEp1eamFdsUqz9mbAhW0cQhGWVqrVN1c9f/mLHZ
v9GXMxDjY6RiYf/5O3M2y/19V7H5yrdsfSRiAiEeBekvxyfCrrpzZldcr6yr4/WQdvHSY1YW+q5c
uhsNNUtYlxwfu1FC6dpRzK5vyfV1sPKmxrEba+2asI0hXBqt3Mfs5zBurt1NFVNDt+Zwls3kBoS5
O1fVoLTHBubaFmeNWzSV5NFZpfNI4TGzLPJ6ZmcVJlWjbqpduS3SnI5gEf4+Yy8IiwbOMkbmIWu8
yOf7BlBvxzwIyY3DVvqMO4AeuInup7W5nTlztvSnnVXWxrHpsGAw0Mx9t3DOhoV9ceBNwPru02Ab
wCQyROuUTZnfmmq5gScVhxNgtHnUEaGiam+KTgsJfWPWQhDswd44PCoWByJK1Ku3jFnY1ZuXorBC
aFK3bb5YIfsS0FmiJ6XZLQlJtWtcjyX7SaM08MIyxyCtUHrHpRvSB5ddLo+6sRLvLDDoVAuLsboe
j8zcbtvF0zFr5yurIsCQg2DSZOm1GSbInkme1mzAb8MMEq/ozuRE3iQGqgbW+A+eXk5hH7kHrxyO
tcXRGAEF2i34w32LrRDwT52EqAzTYbK82P2Ilr/f/hFwP4J+MCPqpiH2W1tz2AcOH8oOZ/w8Y02H
kHZV8773TTGH1erutRTTib02KgDNAGEbDdmusZ2jF3nnHiexL3OB23yNtJfFJPoUMYsddkQ/MxYA
ZyosuN2Yw5aTwDfx5GJ9OXWGHAPXBSeF3dIGVqeRaDjrFpA2OhNbslocHIhSJjhbz8je1XNtXTWg
YIk7BQBtm00wdO0Edz4+sARxcTwSqFgUWphnzVPVOS9yXq8zMbm7eHSsvaYI3ER4lxzcuny/2tm7
rOmtQ1ZFLSqYCfYPftRzI7zPFnnSQT96dsA9sblBd87ELSHb+N6rMny9Md0OsYzM3eLeH6Wx+lZX
6DB27BMyM+PdYq0G5tTuatbyD+tizcyPZB1mKQpwW3Fyryv4Wa3gXkhV1gRuXFvHhFFnaEFK8xEI
NEFutG+0rie1wJ2jgG02gNBqaQ64f62wYrK+dzCh7SMze6bejG9Qo5V7U36IvU4/z7Hb+HbtaE+F
ZVBNYaeyArdI04dyzKWvOlw1GdO0Q5167ZOu4ASzKcgfVhTAQdetNxitir3M8gntSuLsVyIZA1Dw
bqhm4DK90PQ7Nn0r4UZ5GZLDlfiDDX8o6U1c0W7mnAwCNv00luORLHmAZ6O4IjSRygjl+zOMH36K
Eiq6IHjVd2Jvgj7P6azbHKednenPC9TeXa8ZDk9us+77pHY5UFcy3NdcPeaauQDuGfSz0XeTDQDJ
oS6ftDwJnVpOeJlKavqCoB4TBc2eb3W4dkl/4A9qnPIpMLPcuTBf/pDiuvUzJaE2Ny7xPHLUAnfl
51mTsY6+oWDCZ+pf5iiRwTxV9rkewUxmTv8ICPZEWp9zlquL3K21HxzEgyHZ81WYABvcrVPhBBYi
MlINvI9DXzykhO2TW87CQtFfZalxWFLtc2mty75ome307nU68ec7Vx1YnG/JqUrt3Vhrfbb7dbBs
29jENeXOsNL3TRUDwpbkW+O3P7qb/KigP0exMPQ+DfUSCgxuQQt1y9djp71ZhLsfSvHea7ZdPmgZ
GG2d/RiJJPZZcIQb/ZmVUXaYrebz2BG65K5LBOY5w5VeGMY5kkW+zwoxhvCc2Av3OblKXimP6GRu
q0K8c5zuOout7NTZ84ucOpdkO6f3qfOc06Cn6snzxteCYKoAMetnJ5kmDPlkVUxx8SSM4cq1+vZS
S3FOK+Iw7KoqSJxnTKG3d0WCoCkyE+lDLvrStoPO8J2Zkr0O1cGyhjSI7CULm6kvrsnIB287t5J8
kcg7FpmCCZa8g6noPbGWOVaFMq5WB0f1KJZm38uC9FnJV1Tr+tRgqbvrcuc6MziEEOTMGKcwpUOR
K/Yt09ydXtqPW04/wr4mvVqa7hS3DVat0WSwTOQ20hGOF7LAnLdFPr+ZomE4ugug9kEQ/B8XCfOY
nhJbzdqeQHtiX8vRu+0LdKDb1qVhacY3Pt3UDWqGHh2lX0YPFSR6pjfpfm5Stg3kd5yMRHsdPODU
jTZ/MlOY82YxDCc5ri3vmpQVVBQ5R96/6TkhaOQQa7zlJglxYGhlyRRBmAfGDvY+dicT9nJt+rNV
G4fYzV6nMbVJyJBPS99ddWhYdyRBfzG12j0Xqoi2ENyVJtcx9nblAgKzSv0saxbwlcVJvvJW3beE
wQYQ3FdTfUD3pPpnK+0j0jeIAm48dZwnhBa1P/eNrKYXlAasM/wM7WNW7BruvlLesuTxYF25CRns
PGRIqOzOPDaigkHluzXe0GdzINmSxItlaRlsMDmteHsztFjrKc1ZGkX2g2mVrtO+rUYgNOrcmmPn
en5WbfICbLMFQhR4PHW7tu0/lpNvkVV/UV6zcN4CH/+8vH5d0M2o+OfK+vtn/mX4onwmjQlviSN0
nPNUrj8qa8Pgt9g7MLOmHnXpKX8U1pvhRBdYTSySJXXcEv8urPXfmI8wRtw8SVTcDEn+xgL7l1Gh
LqnaDbbXeGIslBnm1tb+NCpEwmikANSmy1B+irsiSIoPP/00/mDX8Yvk5D++wC/bgHY2i7Ke+QIS
13rCszp479Pxknp+8j2c8k+nR19HaD/NPXWJiYXoKcSCoJpZ8P8yz1mMzihsyoSbzC4QM6Pj0QQm
vGXHmoIYonddNsfyY1JFstcPOlJqbfUrRoepOuumDpziU9VU0o1v48GCWuweKLD1A+uE4XNKklla
XpNq2GnWle5Q9RWEN0Xtk0TIjHJGq6Knpen3mUjtM74P1vLsCFKMtZDse1+w891Js2UjJkaHBTMg
dBOUu12UsICx2Ip4bFnsqtGtAr4JBFwpejOsd4M4t0adPi9zMVwVUTPgLxs5FvYEgBcmXN6e8YI9
OwiHjdye3hF1gxoTxCasll60hOfblnlraW69XmW9l2iPE7n0lgrNMY48rfb7POvnCHljm3aHrxf/
n6b8L94aDHr+u1Httv0MgeHnl8b3j/x4aRjOb1h4ELWwtTNpe3n+f7w0hEWrbqJpsml66bzplH+8
NZzfBEYDPofH6nvgxo923NjeGuRA/+uV8nfeGqb4ZVJLj72p1WxBvjRLIZr/37838m5Y82nw0rss
94gk92lhqRPbOHduvai2rHvLadqOWZEOGDCKPBBa3PGpA+x8rKb5Qi+EJdzN8QwhSs578yH5lkNp
U7bm7IdJUNtBr8qP8ar06a4vGv1Tqdf4nXcIbVLpt0YiSfwZjCpOSCUSuRwPlWfhw0+a7Fxmyvhi
Ij4mx4nU6Q/aJitjkRWf3dxqdlUV4w7vSTOz5RQd4rVaA9Mr9Ft4KtXocwwPA0KDtmT+W9StTVi1
pT27uvaBbRjCwi07jTQF9+IkwHJTDKqgWKz05CKVfzdlgwjpe+l+W+UkD60r84Q0uHm5I1Et8oJa
TGUbmjX/4p1k9S3DrinqALE7GaqkAMTjV6jk5HxIcbY+dxT22cUWsxYA3nJv01ZHg7oAxwUp4gBI
6BGuY2DwZm/cdXqfLo+u3SP250osb6KFJbtGOBq04jmKH5mzRB6r3wVx68K3f0qdKLli1k56f5oa
9sGxZv0UK3NkqJ0TTaQTsG/sXaLz4y3duX5d2hmsRdygD5buyIi2U7DJNFvWA+XdKiEPTu5ABWdx
S8DjFtgC5oTkw8zuupbMLXd52w9LQzhYy53li3ws58ArkjlI9cEMOx09TYmy4Ivb0iEmMWugLrXY
fcSmE9hbuMFQJe59wzic8Qbx8+gN+uo+d5iuLBWVtF42xr1mexPo0RKhteXSD7St7Xyaao9Eah6a
C4OmlTkMx3tCHbd40tg3aDGuLaihy42uBt2tz2QlTbLG3Qz+jNIQ0gAV7Jio+s7KmwS5kEoNa6eb
sE4UpxvdGZSSDsE4+xooB9BZpGSrxQlsBSV1n3k/dDHXajVG9xHVNoBQV5u9+gU9u0vqXtVt0bse
i+hW3whhzDC29AMRQw3e2ns08HWcfCqRlNRMz93cZYa7lNr1aGNv2jQL1aXTZHo9qj65ciI1vRdl
4tS7vJsYfSETX05zvKBAptNSIN8LR0+OC41QdWTKVxi7Hkqx4QNT1Pqj3pbuXsVpekcgGaOBpBmJ
iqjaqOTJjiSkDmxpaR+QeYsVoo6IIL9e1xTGrNAsstMSrmZQjyUVrq60lj0e/vH4DhtQSvYCCAv3
Zl7L6QJsWj+0UE2YdCEu446zNAJHXNyLqKhSUNlVMZIuGxUJ6Ti6Q8p/Iac3Iu2qQ09/Soqc3uE3
YVN2DxPko7Z6imdKcypyhO1ssS99ZXa03k1S9vt4WKo3c7QFqkmgHk/rKgV9V1S36sAvYjnA5t73
R95EyyMZinN1Ejb9kZ8SbOIcCj0R24w8AsFU1e0X5DHP9oBU3Uztbn0cczHWxylPDKI2omUOZK0Z
V2bX6ShJMnFvEdGudpHlZWWYxbzN7AEZc7402WGdTXnONLnkgZy0eb6ejQkTJ3nqa8BXyg9SRl1Y
GHGEfYdrVe3jemW1sFrmPSIinYjGISkClvLiigQJLzRlRt6/lm5ELiuZjad6tdIAhJHgOudWnH1o
Gzd7TyKL9my2xfi20+exDdvKsnjWrHkkBWQ1w9Jg03Ri1gijDSxHFzpJF7dX/AEL+oa2sYqAL9YL
yBwJT+BMiWTjkl8s164ZziyFRU/K3MYXDGvine20MdqBkaGh1rSMGKK+nGJQsXY5WDeVqlErShUV
T8YSmy/E/r4CDHCoh76CwTyli6MjJ/fesVMjYPu0BL1ICJX0oAyRvQM9iFC/KPY3+eKDijrrUpRi
wFXTYjy+mdqquoHe4WQH2VTmm6ZHcDDP8Hx6J8W7YKRRQQA7m2BMF2M2DzfEQRuXleLyAYl61voV
51d8b8w4LxifWMWyLsfSBJAOIckiczA6w96Z5MWSubH/p576X4z/BAEbVBh/3oU9VsOfgEC/f/SH
kFj+ZvNXIS52EMH/nEgszd+oaFBNoNJgESL+3YuZ9m/sNtg60Fc4liB/+F+9mInGmIW+zd4P47XY
Ysz+Ri9GwBlV008NjAUAlH6Mlo/QPkSNvzYw0Mdz1WZpRYSva0yhR7YrUkuVYq8hrmIPE9wafBVn
8t5LTawzIlXpZXLY9I5FIknqwq/DNi41X50uWe5IVlKPY+dE7wgAwAeFIa6GFLTax7rdEBpE3tpX
6aZBI76Md+U0c4QGPUHczObY7JjXVCiENRkVojicaeZ5WJuiCRsvjVcQ1gtSlpwHew7WMVNfunLA
O+F6i7XPtc66TYwM0ztwZF+r5lEL9UYzz7wTVbnjEiiy2s1EJKdx7pg4VYtzI4gxpR8RvFqH0jTP
04rVmtWwrsK5aMa3Oo+ZF2AA6j/zVQysQ5ZinBUNCsWyrBvCfVynWL5RHucIfZafIxIi45zIpGOq
s2QKQT+VX1Iu+NHGX8FZZIMVNNY0+rQ6NmvmHPjUa73CIPJJP+9erdruXtWk5w9erjPzxN59Ow2R
eqo7Wd32XTsuV3Mzx3ZgAfGhCktcCaStLIyIc6wh2GdNank/53xfDRtylrFGFJVbzcA4zspm934F
iP3OiKW8iwrkGjsW1roRRGzEKOGKqdq7siQWbnVPc13Wt7nReHc2udzJdUYffOz4+e3HqvGuCydt
DmuSbBAlT+znr/a41FbVIwQzea8hlkKKlbBuX6RNGjTjexbpQAOrHO7iwtXRCgiM8+BWt3nbjNrj
apVL6LiZwUudCSdMocFCgCDs7kjEfc+/2TD3pkqbD6SzN2/boRKvtb5w+Hvoex3fJljvk6GVMgTk
S1KYnBbvfqaEYchleY8s4uP72Vxh03hzi5DWJvMUlXIHvIKXOJisRJveS3Bo+BsN77quTTfeD4vO
iT9nKj1GbtOvJwzSKMbSaNCuBcinyZ+EW4amDo8JAhfBWf0psemNd/FUDw9AF+z8OiH/9a6WmmHu
DOSvz8pYrJuEwT40JCpX0EjyGyfJ+QpNiklkZVelfecpfYUrLV9BSziqQFR+xS8RjQqKKf+KZWLW
MsBoYqEq93H7ld2EDVTrz/1XqFPRbIAnUXegnWz+a7dGn3i8KNYel6lFB5xHN25ZjlfpCDMqAR4V
eVCkCmQT3sfsG11KfGNNxaXuqsAFTvBsm3oKZhQ7s74RqiKM6nsGIMmuN/Xi1Kzx9JL2Ig00L6lu
sL027AP7h2yAfMVaDLGPmwlD7nLuoRfHiWJmrhsxS23srKplrrhj4VHW5OVA10o3zpazEbcQonTA
txTfw3HRU6Bc4yCGYOnn+UrDB36qBoTji6ceqlVe91kXnbLR6FiOVvN5SrMhdMnyRz9PadxUuAo0
S/vEji5smLD7TbQeiAXJWDFQuGAfcC8gPB97+Mjsm6YD8X/2i9FuQX0Dbdu6DNUtXscHwzQFvgf0
flqHOCK22HyNBd5YCbhmD6bJ7zJbXemq7j5ni3vRVxG9JX90Yp7bFI/KQcGTjVXnk2nKhLjoxjtj
iMx9s4FpppSdk8XUJW0kQal44Pwk6Yr9YuRwGTU+ZSB6xGbdVjU4tvVtFbnowQv3dq3bm37KI78W
CZJs4MOHJqJLzhxNv2nbaLp1ukJS7lQfPN62B1oMGabREu3Z9Gc+U/bOr0icO64VK6ZiHLVzBjn5
aingDw5u/K5KRRfEBt1h7gLdE95Qob6o2lfimqejXsb9M6LWnhtj0g74Mb8MrVMcFsh+Yd/C6xoN
Eb0zcxuGBcsiyOuZVRJagZTqNDhIotgOW/aVws25xyqMqbeOgXnWePvOMkJUOWuaez/UicdInqMp
K/Fz97ZVclc4q3tZukYhgMtxcoeySfsHGvToxWswd5t2GbFrHRKivWXzQVV5RQMOiONNDbNubwwo
BqNUyH0Je/RQrWP9toaG8eq1sRb2IyTsalLrRVHQs8yYcJlhEb83+Y0bxAPaLWP1F5fkBd03PGCR
cbc6l5bQ4Hk3zH1unO05i6+9vJQeQmC7gY6ZMm7LBdIYnMvpGlhTuexsTLX+KAzzYpK5vaPknemk
aOYOLl0RO1k3P2ttXARtHTNF0AbtBUdl98odp5ogHab6SjfbbcdW3eNo0C9mBuhDkmbtDAW3gUW2
5Cw6f96cKYLtI55RS6ObcLPPJlahz0PZIjYGbArNtY9YGraWA4sYLajpZ0tjB1tp/Fwlw/iQeLn8
NJOsFdZeQ6xPJN5p3vAlZaT9xhEO8cULpJDOsp+VZWsQFDsC88wczz9ZkzxKTfQct9YBFfm7yBk+
StHYh7WyerjL6+jT975ZxsUL+oL1nOu275uSjOjR1E9EauZha4j6cxy5I7hkDeOpNLPjiFG08gW7
ZFwYkXFHekob0p7m98pwLiru1TU65iEse0FCBGPRbamWtFMddka5XjbVB0KP7tOQJU94LSilqC/Y
/RAoaI5wAKH+BliooC1428s1t5utmGmk3yNd282ccmGiovS9yPMnTTiYhKZGf5cIF6ZSKt3PZAU8
EDH2heh29uQpUSOa+1ZBXQ0aG9/4nOvu2Vui9brWB2vnmiSgxwieCLM8TyqPeHfWdUi6GE1cPJrH
bF7KkznWJ+ISt22r8ZxOS35dcM/vVMrSyWg79JRZn/ikzR/Imq3PVT8/WmvS7Y01Udi3tvj6bP0E
PtTye3OoHunzcR13Kz/rqDQXxA9qDAlU6AGoduV+HjB9t5r8GJEcCrs0eqs3tnnLvAoOn7TvG6Pn
vrI/lqI0GF4NuImStL6qFcYjvLCf3XIiudP4hLS7SYKBbwnGejcdZU3EZGfVVpjiYEdo4yQHKhb3
AfN1zOpgyva0kvOtUG5010bVueWiV0UL6Fe/JEtn+QC4uEWxKTHlmFnoGhnBAHX2POe1g3UsGQ7s
umzgPkJVD0NCzEaG3s0dIYQ6pNhYHOnXWtM5xCyuLz1g463YbAx1W7l97FuTh5St+sIshM1aSVyI
pt9GU3e7Fum2yWTowB43q8t3mL9Y7XXz09QNd7XR3/aauqFaY2XvrMiJ+2j2l2XA/j0iK2GGz+BB
FslIUDXrkt3sWva1yqS8dspGkWTU7sTiEpSHlne9E63K/4lc/N/WbzR+tFt/1fj9p7pta/v44L/V
bWyaDcfGHrIlu20uhh/j9E3dhu/HxJlvuYLW79/jdCRsFrEUP63nOHv65P//P0A0lmSmgSCN5MWt
k/w7fR87p9/3fSRR0T3qLAeBaW295rZE+2kL5+mslKOo0a4syxjvGfyTc4IM41QWax669dAFOh7x
B7NwxoOsrDU0eOmeWIdR1eTV9LTQtzFjYuhiNL1EaqaP9g4ZmPKhVEAocFQSglJ8iHFCWDjsmD+1
2Ekt9TIN+d0EYRthQAzdOEf1aTjZjPp8UwaXWzq9lTO0aaxCPPaqwUpTCzZQiHYv1jR2T0zBqbFd
ol2XoS0+6RpjZmk+Myn5YtZ9syMy+37xFopMiA+HZrIttTOzoXxIs3U4I6sC3+AmqKvnpswPo7mm
QVao+XohyPpUxjNTsmztCfSPvH3fDbw9CM52CAHR9UvraGIGlbtEwTjTGzFmbvBRLbpajisBEaFe
W5RZdmNf6608Mr57qHXD3ZlocG/K3LhS0VyitQY0G7MrC/MESkLTyGjfE07nc8NUoVQGcStxjj8W
wCpkiNbnYpVXK2E+e9fWXFYNmeNHFT3dYLn1fhYxwbmzApHj2x2dTV6sj43NyT8tyQttq3jGlOuc
Zssd3yqjEruka2DRL2YVXep2EXpYVGAGPH9jduhXo4rM9VG1Zk7aZDpVUvuYF7OB5B/qorbuB1QG
lOWq6lYf0RHUaw1gOvkPDD4fSACTFy+GRI1aojFnmvaxQT5NRtwRNfN8cEtFMcYQ272dS9U/aG6v
c4qkWpn0O7l25oixMrWv3bwlvNagFAu1fKWLRVTGCzYbrPyiLWwFNJTiM5m1ByaVm/yg+q5GyL+J
E/iLNqlC/U244Eaq32QMm6Sh/SZv8Loq3dQOLYVqNt1HUOMO6ts2FoQZ+Ut70gv0YT1Y1M9bzUjL
5zxP+tDpj9q4sNmB3pwVpYecDY2h2Ou4Y2gqCKapbH2+mVLokM0eHYoCrFDoxiup3fP9NDcI95dM
AaZGJ0oGBatT9hAGQQy+NgDoCYE7ai9JbsOBEKtL/UeyxnxDurQud8pr6FPihgFtI6IHVSQsVFn0
o6HJwD+/RGDZyouWLcLwS0a0t+s4OYRfAQuP/IENgkJqp9R5yYzkWCkUfymi7dhH+LQ8tswS4H1o
7fyap4UHvrJxzHdNYomgiMv4tiFx5NZpUknpWyPrToiGOvANMGnWu43g0OjhrIr1mC4sLBzSD18Y
ltOcuY2xNTRL1gGD9gyyzbMsOiUSNLqsXY2ZdNe7LEV6OH4EyPeAWEG4c8mRyG1enH7ZGV+pHnrX
Uyu56q6RdXxwG2uXGKN962Vj/BQViMprmkqbEjhe3/4zCf2fJqEcbIwm//xAfPo8v+9+Xiyb3z7x
4yQ0f7N1T3Bsec6PIOF/nYTOb2yayedEU7LREjgkvy+WTbbRBC8gvnaIWiC9kwPq+1Eo7N+gDAP+
srjfv6nD/8YIlMXXLzNQnDg2EGfPJaRxG8aKTQj+01lIAamN0JEIhGP/+jpqlrvriuWjnEVxWQ2t
CRMNWfKMpe3BneQNlNvxjTNmzWNdodrW2+48sNbcbWS3GzA52mmJTCc6jFWW3A2q0d6TesJS2Kn0
hui1CJWabbNfu1OuvZj3lpXmogTqUhjuaTVaKS4Y4fXquQNdT74ZL7/KJIG/r+sbWbe6S3YwK4oZ
ZZ039qW1iyJICPDBY52up57atnkupOptrEyKoeAZPaUjWC1HXh+6iW51+6SwRH3urTgtaBBUDq5u
N8ND582DWcg4u9UiXqwl7tiVr7io2fda0SwPUriLfYLhYkMdyrH8ZU/RomlsOgw3H5uArLzqfaYi
+Sl2stgNiO6HXhxuycgjGQigzXVCyNusZsoG+/GQ4zm6krq5biJbD3ZVZtDiTew1uv0ICGsM1wpv
bSCr7FjGeFtnlcK5KpTZwxCaJXpRab9dRpu9mgm2Oe3Sx7goUFfOQ3bTUNEfMzG9ZFWKNL6fsp1R
esjipxiqb1PGyWs6p8xiFxbqpHbdVFZ7lRC89drFpUIB292Z5cwKWo0e4+LY+YhoZSJgbHq7slf2
EaZibzdP8Zy/zCMK/QX551lK60OMAjM0o3x4JGEaQQ2DywMDwxfMmNVGBJ4OZPe5eynUQXjew7im
L04hvlRF2l+tXYXtLY8va9K4fjn0b6uyO5djpY55n9YBG92AFabYdUvtXNVUF/uWTIYkhnqQi/yl
RmoDClWrwrwcPzupckAYrNHd5FVkhuqztvOGzV2HgD2n3ThYo8X0CLaPII8/GMdx9mMDdTalVnId
DUV7I/tJhEh69JNbpSlUstXeEXmU+Osmc0jRZR5KlsEfZNLM55kZfVg3tkblt1goBOPPkRlVt7bW
P9LMzo/sgwuUUGiFVFqnR5U7zg7smLMzqw3RDRxi31OOnngvJPu2Fd4+Lm3auETzDqMzfa7svDwx
2a2CiHfHDoNZCh9rTj9U5jYjsVUZAu9mo6qXHaH0JkwpBXfNXjV08fpYQKLq0CmJ+cmwlb5ri/xF
K6ITonKCPjucZ3avvdpLpO/MfM7OSUOmiUb0xRcToss7gEjUJBjz8slCRzI2iOwZDuf/x96ZLTdu
pFn4VeYF0JHYgVuS4CpKonbpBqEqVWEHEmsi8fTz0W5PdLl7HN337SuHyypSJJDIPP8537nBGj6e
PNhysDO7oN3Y+OChcnjYpicISS7G7kAkzK0nDnvA/gxKkcT4wEhB+Y+lU/C0FFZVQyQAZSFhBmxR
gIIo9mMfXQ8y2lPvVcN6oOM+2WV5YxGyoxh1De+DV+PCorucTN/3sWzBtcXTdA9cwGSqyGWRhBNj
dnrj9FcrWVSjxHf0cRyyeo+VVqtwN3Bp0QGnPTGvW94tpVu9Gn6abasyJOyYQdA8julPnt/0cICK
a3mYi1aqW0KO/XvvcrWwq3ToLDCnSpzSOqwAteBjSFvD2gGa5DcrmGHr3Nv5acMqMRMpbAQimotY
xlR/uQKRWjuKwwVaXQLp0gqWt5nS9xc/k/NtmRtUlhWv1pIJ+J1FQ+IDadtondtcWMWGDoacoors
K+6DbpNZMnupuhwYlyfd7EwybzJX1bjYm4WQyT0Tnee2xMED69FG5XfK5miGA3wIe7qZGCo9OHZo
PMIO87EzuBmHHioUlyqkiGdMUm5jNVtWFDf1vEUFFWcP0wtxkgEZdBgG/AVpA7giq7cw6/Suu961
hPi9S7VM9jZuQc4ZbUmaAt9ymRKry3S/VyaDfkrrluuzZAlWcATqi7L1ez0STXSmKvzeWf3Fn51U
rfrCnqgKG948nZMDFey3LXs6MKQPNgUzEqiophyIpQNVzI3BOOnRTbfBNJoQ3yBtywbkngb1to0d
k/Ug0LeZCoq7xRDTWWchbiM9QpesZ2s19+xSJ9/6DTdLYCR05pVQFjzbPB9X0ux2EH9JVtvDORxZ
tUhj44CEyL0WIEEPDP5dUiB4miAdP4wBGYAiYEbWQGtjCNGE+3aed4Zuw0MnphipeRaM1cLqu5YN
HdBXnNtoGhTD4aVG3IXac/VX9k9hlhO6CciNclgMN1B6D6ERJghR8ufc+s/ATJtoIfy/Fb0k4qBD
SLoOR6y0nvGRQ2k5GkX7dW21QH8ZTyYdmSQPrjKs5dd3+FfFjTXzxdZC51uVDeKwMJfdGzhsV62k
t3hiVLoOElCHmCj0aiywX1tVwXrXeh/LgpxYg8oAgTt8WE1RnFwZEz/SHHJjW2nC57l5wzUA5jdz
0rUqip+jV4bbWS4fMMI4SiwIzRga3PhM03HMcCFn6S/C5BvhLUXYZeju48KK1ynDjVuqMSce7oSJ
cD28N6b7Ewn2hzNk5bZ02TBMs/NadWNKCWAPdjTgr1o6B3c6WvTPbnTI9vbglhwWUSxvKr2nRS6/
hFYjDyKwlhvAy3wMfvExVrHYsJiSVcJN/hpo+uOcwX7MMipdpoQNfz7DUhq9rPxm1WSGK/Ash5FE
2zaffL2u8btsydFWNySyiWHpxVlPtv7Wp7Em+ez5KxXyHlRaFCSL2uClF9ZyX9h4yHiaXiNOqT/O
dKgUkrc/4Sd957YvBqYcdfDU+i4/awvOM2N88MpZrcmrJhihSnXvDnH+TsjmEXScwoub3DpW0+/t
MUhw8Ke5xAUf80Ez7HSeGdtR5oB9hLhGEDlL7FnXatCEb3pSerO0nM0yb2IinDQW06i5ZubE97yy
pNncTeaCo2mZ/b0/u8GHKnrxPor5ey7j4W4RtpFH05RO+1wONvRDb2IqnM81K6tEMCF2BipoQusg
zssVIaqHNgjdB/ApvVizahpsMSxprV3yUz/7zg6c642a8J1CZWlW2u+8nZSmyy1TM5Peo/ou43q0
eMxjc3kE9zSuOXvf0FScv/VELr/VSXssVRrjm2uItbSJ/UX2wGUulVnfTXosCV/hDi1WRjbOB6ka
4B9ZkeaUnbt6/i7KoNzIZuwfF9W1h5jF8zylRrkLa+9+8epTjGbqg3i0mnlPdjfncvYm/ytOfGDP
Vu/DgXSzV9KAztkcM3fTVaqMXI76QAXkwnSjZcjaDHbz0NlOl6GXiv52LqyA4WPcQNIc5Jhsli4g
+cUkXd/VQVbuErPLt7Gvhq0JtSaSvC9YEZ6xy11ixDsAANkrq1nxyiNufCvVLB7xJ8d7kfvZQbiK
HW/cese2nrBgZuBEyEvAPXtJLCJpp8nQ1Spc0u4Id4IbIhWqiCSH5yM9cBOW89ksVrNTS+CSCfVF
ou8uA8axVxEs45cr1bQP+iY8NXk+3DlJ2j03ttsV3H8NdfV2622KyoUOyO4KAAI1r03O8aFXT5T8
EoHjnEQl7xJKm+BjKfUUZTn3wwn3f1VFQVyiWMTB4r0lBSOLzRTMPFmD0Qm5ETvSUlQzIRg5hePd
eiBm3ydfEVFs/PGxXGp44n1aG2fUsew9rtx628UBPbDVMpeMwGv4vkGeBCvHKYxg1VeqehXxHF8o
PkGPqlheAdU9qoq9MXOo8Vtd1c3GSH2IV8OSnLqaLWlZT1fpqJqqJ+LpMDSEb+0U+O6bvOnbra6G
dNMkbbmWxlLiSeiku1XIDhfcIV23cRdUsJx4ejTlJp1b9ULFlZXXezDoyb0FbFs/BH7eNXdzkiIu
hMksWq/ARgpIO/uqmBlq2krH0WIy/sV2M7t2whR+q5zH5u99Mbj3Ar/r93mY0ttJEw3tMuXsGGRw
KV0pF1l3G7tPWUehDs1snTx7P6S0zdLoC5mKchvp77uCe/Fb6AXxRhh5nNxk05S1mBJEl0P7SRSe
yxFqaIFQw+pD1fHNNBhyP9I4/TC3A2cBszV2i4sZeBo0YUvVyUPHNbkZBzu7kTm1abE1+j8r3HTf
RX2dIHcZ89vdXMmnvgjj7N00cfNUTqgYu3lXUM6yMLrDaPoDaSrZeyM2Y+Sh1Fi3Wee/LLkSEaGA
hRBpT3qtt/rlU7CxPinaCFYl5+PGl2LX8NceF6sdLlJm8i2dnepBKdM9LjJTawsL68YFFw+/OK3s
KClgVtCfy+6gLXrGW5g1Owydt47TVhsqpZznnl1kxCifYsDazKOEZx2b81ZHs9UN0Vj6B4af06bh
4P6AWBhuu0JYny72wD1F2HJFT227Kq8JWj9r0l2W2NOma67Q6azy+Hr7VH0rQ2Pa0XV1Z89p+IVp
/G7inaAGCos5uaX3rVmSJB3H5AbKGR1qJhQt3BVeu5Xh7EYtM3poZMs1u5pnaaTiKo0gFqWcRozi
AxFbrprQr/ZGRlbTUDxJauURXQ1KxkKGMPTayW1728QO2bnQN+4Ge9EPUtGSinfnPBcMl11c0R07
cKOMaEZNf0jpOec4zjIW2jbZxw3Ni0XPwj9KauZKym+XjhaIDsWdh47SF8J04e00J0WEecXbF15G
MTSG0pXom+aYCfM+CCo83D1lJbCQk0/ik/mmbognsrFrg9sCx+R6rkQRmWXsrPIytN8TUgQrW10Z
/RXdE++G7N9bG/0unYKd486Eyxs5fYmZB2sA5PGgK7qVTA6e1O1RvwCbJCnxOGCWyP3Eo2ut/KTV
M40mvq2VVc9vtLac0oQqkaX9ImX21ueMF0prFE1EhzRg/dm2I4+UwAosFZ3dWe9+Fv1MF3JCOS17
ZorPrjW5JS20PPMwjrY3jZfXXC29vzNF4a+tzsluyiQp7tEfhNiMzjwG0STFdNsP7LdzMVmb9ir/
zEEvD2HblnRVTsseM5z4oWqOaDltiXsanKi+M1rrkg/ozYXsvg/pPBz9KstXAkL7EV1rk6ZaInV6
AKfB7xxxC02XpUiTbYKTifMaWzFdwwhxlrw61KOcCpo7e/3KtL1fofecbexzL2ylnjKjbdc+cddT
6uHVa+eFjWOTHmLC/cydR6Pb1NP4EZotdExtUwRvvdQGS14+YbKVHoUaFFIEr7hzq5VNVykpgGCC
SxW7T0tTgNJfCutU6/QmM+r3Qfo9Ofz0sfNIN7CSbpVmd1Qnsn5MG4taDWqL7al2vnoXCLlIgKBJ
o3qZ/cD+KWXFuCCpA7y0qB5svmfw3avFqx5orWTG0yQ5lRUyiD8mMWIBmKcJvmCo1UNL4B8PSRBj
b0CAUFu3B7vE5p/5sVPO7q6gL+ShZsGCImS7jcevFxMBCLp0MLgTqsgTBeQDRGS1ZMnMUSfe8FVJ
/1xAhrkjA8rG2ixocLQoDjFXngX8PJoCcCfRKFJ5a5mQE/kX/qiog59WYj04ecPiEWQ0cUhRHLXL
w9W01fe4kCO180aRRMCqGdH7wMPdcj4umV9wq5svHY+kdWkOEkTBVQuUNTPekNy9b3rXtoOBXd41
CWG57IST3mJJ8OZuUnt87qST2w+iykfCJHSKZxKrQ2Kc4xAz0lJCyc5b/yjNadgqu/Ajv/DKo3SR
/2hR7Nd0HJNm5xS3jp32pkumC60CX6LKuOJj7eKCqy+tI+sNwox/qJ3Cgp89pDvOLgiIS2XcMax7
ZVzTn4bYILLceSDNSptybCGTKGsqE8Yyh7POHXsqlRKBcjE0K1G4XzhlwstI1+A+j1VGn4f+KBJM
WNag7S3zHfi0g/0tdifzUQVusfFmjGjg7xr1w+396ZG1z1p5HmVvvmjHY0ezfUA2ZG3GhnMuKdxG
Z6GjNepEUexDrz47Q0kkYbEdeJCZCjF5gYlj/i7S4tjyfDRhkm+LTMvP3mya9yt/DkaAsSzfGUMy
gKd81/hsCHXc+aI09jkPvG5lgzTcB0XeMZLiiES4Mk83lNrgNSD7Y1daf2Ofxa2VgEYAGBHcNcqO
cXyn43cj837ixdOSvhSjB5AQhJdlZkToZr6q1zIT6jmY3fHeslJnub3S5OhT8atmhwpa0UQx2JJW
cSCXZpOZPt63bN5ITLjdGs+d3JJbhtcqYuPWhOU1rV0eBvssnp504j6zQ3Af2zjBtd/qYc99gLOy
67GthMGLCsj9yrS2HhOB26JP7bvA7OPPaoZ/mldxsCYphm+vvCLVTwojvX1DZ3C/aocpPbGHGOYt
ufgGyG7mjUenZv1ZeUwxc4rqwWghEpGdUGhh7Gkqz1zVHG7Y3qlGktn2mu6lk057YvYZkOtu/FCs
RoHGp2UOyZR1gUoequtvMWeIJyI1prcJ2nF5HQsKSLmNY0QjBOoU2xQwFnuUQAq4eto1ia0B+FKd
3SxSym7DAwunPbUQ7Ji0GlamNRB17IbrTohV5r0qPP8DsH7ArT3mw14GJLgIhbdsWgOHPobEKKc1
4/z50R3lgPgksI6sOIYFfBNG+FL+5kRMkzzZ1EnMKA9NTT/oAuzb2uZGi5Z21hkbeg7es8Ujmi1o
JTeTLX8qttcRI4IL1aU57hCPfgP8wxtXjiTOs7i9zMlkvebX+fQGm3nFed017/u2IeqDPzl46N2O
5ylrWXNfLsb0ajjZeLTJo42rCkfbudPG8ErFj7iFd0JTqoSGxuG1ty896J2H0Ig5vnRmHJ4MI7W+
6TIrjkMfTI+WdQVzzdbIXdrULKuryg1qiz1jinPTZQK8BoTPE2tUqIIru4M5dovCfw2BhZ1dgvy0
tLsdPOXyTVc5mYsuyTdz0d8vSe9AfNXSIpFGuY1Y/OSYOyyVTDP1z5L0w3ts9mzUFm8A84TABF8O
B/gqybP2dfTcZqsMnrpJ4/Aw45LacNjJIpH0+U4aGDHpfKhOXTz7h0mJIYLjU9xIs6bVoiDmfNOA
WXse8noATjJD58fy66y9DviNnQ3GRRatvAXvF+yr1EyiflrkDuaxs7ZlwVVidGo4B9Ao31BvDR5i
Sj4J9nc3XdOq7Tiw+0fO9FFpjPQBj+O0DsKEPAqzjHUi++o8DuF3YzLNiMUp3nupO2wMvZhnsIZU
JuXAALPWPjSpGdzDjqYZSLvT0TN8MHxeXG4cor5cNCHsD2/ojn0ajmf6vIqbwAu/UThsRlMMYjUP
9GeiKzIwDkHEOMiRFc24Qivr9Au95PHWJ9AYSYu8jcGFvkupm1pP2AEORU8b1ropam0htC2b1J7N
jUfIgRF/w15WLN17Vjp6zVFh2RPOg4zom/iaAr9BBzbDstzUrjWVD7ObZhiveNjk7tVZWSxTcWP4
OBNcxjdorDgidJNuTfyqq5AqIrdY+O8ivvT2rO/UUKMDT8VL2FtvdsJi7Rp1lAFa2qCUfIY1sb0w
YeChaNzY9EYpNpTYNFvLLEC/OvRBJDmlXJKjAu2jMFDEskqS5c5OM4qn8/ZV9m1+7yXjPjYsskHt
sJsWZ/owZsYglm282WTmt2JhhzwDq9vJiQc13sbPKszbixrbC/bzUq9EE/BoN68HwbQ07gI71GsM
gemhJTt0A+H3izT0eP4tANex/q8yxmAIPQCgB4X5LKnmGwbqM4jw9vW/Y+t/a2wN+uAvfVyvP/rh
f16yLiGx8gumDErZ9Sf/yO/4f2OO5HmgxX7L21y5CH8fXwfW3zw64wMHD5X5d97/H7lowWCba8MP
YNsTgP6H+k7b/xuQYmohULCvg20v/E+cXF5w5SX8Y4InsD3fhCPo+5yMeZd/wh0k2lElY7YU1Lc/
npqgdom6IWacbAp8eHwPtB+xWTYfqLBa6Sqh8oux5wY/itoXKfU7URyP/raj8v6RSCrbb7sMX7Jg
KBH6Wd7sbAybUzO7LcafaihAyabuAUC+323HfIyXtWs4ivswcEt35RQuU8SQQKErq3nfxs6xDgom
xJ1mQpBUQfKMsZNcw+TCOAq9/C1U6sXsyxj9Ku7184Lng+FjqbfZZIjN4OTjJVGNeRwaesk4OfZX
bNf1kbwYcfvg6ja74UcIBzAan3aM5C9ZLPN+k8652nd2S/ZO6Rpp1Bav2ISmU44y/EROmVK+rk/v
rbCHJh4y6F9RAVP0kVV5GXacvNx6vgs1NqWp+zFJEWEteyYD2/PH7EfNU2hmz/jFGWsEw3QOHM14
pRzWRiuaTUJGg0KvzBkeC5n796j39iWG4og+xJPG3NL1fVXsAmOhAod4NLlmJ7IkCoSn2xLRiI/Q
7gdn7TRhtbIMmGHxbLP9KeTeJIjDCM/amWN6x8lgGjaWJku78fHIrB1XIUyUyeLcDEZ3BVYi/8J4
Wwasu8M+VFeYTK9z6OnZYkbGBLIBRjeT0q6vXb4Pd7xZAms/5OKdwIWLHZcpTBEPL3GtxTFU3bOG
4kakR9Qf12Lmo5lKHyYe3kBQxjzVBndT5kny0Du1XW/gS5TnIK8AvNdwffiUq9Rf0bLuQb3oPWR9
I76qgtN73MXWBU5eHrmJhyFvkT8Gi3guo6jFi+I2S+4XlffHmabBLvfsNTzwmQwSHujS9OINFL34
YtrDG+FltBMcRQeMsnFyUoMop8scUrj5Saq0/xCqxZJOIuTiVdI9AaG0HwsP1qzh1uMNofHWWw9T
xUemZNWdR0t8KLKntwY7vshS4gdFox+QYgldoHW2hyl3RqQISE7kLcx+U3U6eA+SdHxajKulmEqf
yGvjEhpqxdxpL5zRRZT2MGCty1qpjxQggNiYdJfiOsdvjLsj70yqpbUVuf5ArwcQM0EX9QI4TaTi
RrZgHDDsa+RWad0r13xf+vBddLSaCjuMOp9NJoeiTIZrx0/bboecwCg2sbxXNw6eklj+EBz6ibD4
pYw6XO17l2hHcIc1g8LDMIDNmXoWFG7WDv4GoviInLc91CY2GuowmzUZsYYx/YzA0ivr3Ic9w+kg
Buq/Hum2qTJDjg/doH3eUr/NjTEGR8DstGsLedYTohyggXk7Crb9jk1vFduD9mItFlVVY4xZY40p
LT8VtshJ1PVU069merLOPWSqyLcRPdIqNqNWDuyMfM6gpvSCV6ertLsalhM92AaUwD7dFQHdqgxv
jK0bE1kJhVbb2oGVQqtG8Ta7GNorkiqnIPO3Dl5LwMTaRExAxFsVXe5eSMaj6ntIFJ4izUb/qQNt
qWqPecFepBlHuZvAXq8ns0rOaiLhtx7zKw+LqsODOwTdecZm9KLwrI8lfHEAArSKyhKibBNEs2FX
21yePD2/kUXzNk3XW4eZwEPk8n+dSlc0Z7O022zlOgbRjxbvH2VkJKP8Q0FoiJWqay82++6nwIUn
5wFy26Qugvpay0XvYtrGQMCVRYF1Be+pM/vqxHniWgw7fdBTliPdjemMOSXstmTPf7OE3JZLon/S
8sEBbfL9LUxJp0RRlTQlxP13xtmEsXzyHqvUq80rGHM8sMEsySvH3U1Wjh88WLwtULFpXy+t4i5F
sFw4vSkFmq7Khu9WzdMm8h2/v3Eq/LZTYj4mvhfsbQMbQSauJS51kO9Kn2hQunT7HmVwZfKAjWpc
SoQEqLPE/S4OQl/zk2GRHjwFM9DDbnHyBsVx7VqF2EPXuhnJ4VEL72fIyOVDfLXd+33i7yA0MALA
ePGT/nmSSxqQ36qSrL3KnMpNaFvtoQXPDE0gYQAtZvu+M5trxNS6GkscfU5lkt1mRAXWRQmSmNqU
cONi7jzqoY237BNPTEPaiFlg/+U2HRabSqoox6p0M9g25xzoP4duCb9B+qwOidt9tWEyRmOhvlUV
ZENharb8I48bs0sPQdcn+1GVNmTs4HYy44ehr4kGVfArg3FyL5zLqm1n9ERX8odR9MZFpfk9lSLB
kT4Wer5EecvMbdnOXkEqAS3DFSuP2C6USnAZdIbClnAnSHidM+tnp2C0rUY+14d2zBLvuOSDHs+6
pzY8snhykkXIZuT9QdiaoKUDo1NESN2LiNI4lMsjalNovKmeYfom832OFJwgLXxsRY2reC7MEuqG
P5impo8se3QZXeYkfBe2MtSjObdTYeIeb1yikxhHc9Qls6t+aIwCAOVICN9ZjWWkG0mn56vNNPu1
asR8pGnNJF1S97tWUycMsM+nigeNZzoKr1As/WXNZzClw15XAot7xYoZFIb3qZlrgU8Z8+MkwtEG
NuAjWS4jXPurrYgCjIjok6JeJqA41RqNXc8+/r7XQbvF9UzPCHOXelXVLK9Fa/MBkcybt6lIEnx1
MS4u+jVXnSyImoSVfa0e4tiB5Z6zgGpGph083TjuNY60T50cmSwMVidxIVp6DEnq5ZNAEeXZBlAi
DXK6YJHWF+q+j/Rj1+iCQT+NqJcagFNaGAeONh4bvxiVdSVgWd2ZcEuHdTMsbbYlsETlURAunF7s
kYEjNl48PTk1LXMu8kuQdu1DHuYgpEJPZ/gzQhfDQjxvO1Ll+8VM5wl7D0jYldCd36/8Tg+vJXSg
Tcz06qbKrw2tJV/+Gy0wsDd7d2fjt2B4vEBlAb2gbH4+i0GEYGqB2qqwlIPbpZvdwPSvMRNed0AM
ASu6ug5O5ohXcnDX4zTlhetkxAOyxW5WM8goBkEEchjeWLwX4n09dN3Q/Ia6wNjWdwU5aPZbTIeK
q8AJ1JzJDRV1Gl+fa60HIP9y7XgpLTltH1AiVKS4Xtz0LF1F+JBZJtWcvnvw0kDiY7DJNvVlNxZR
79blziEAHgHbtY/4/tppQwm5/prjAHwie+5n/OP+KXbS2ltj8fZvelIY3iZOzCQ803Nkry3tvw2V
3b+CyoFtkbgOxu0lWVuzKw6dpReiAHj/323pkDmm2bnbZ1iWeJZY4bnMtf5hgYNYQ1Y0P1lPs2Om
DBP+sOO9TVPRa7iqlQ9/kNx6sBlIn+K4hoOq68F+AGtkk3lS9arRfhHBFgp34VyNkYsqf1r8SZGj
TNRDj3CLaVTNa470IAsxnX+SfAS8YzWNszUzXG+MjiRNPyDs19XVZ2THQ0uZADBUaxL+F2iy+Ub2
2XIbgBp8lMokqMp6nuOYM7H11KJ8S0xRJhuolCF9UBAu6JcQRyHjFuHYbU+w07yLvQwkr4UEl7II
XmC5Ti99R0a69k32/oIQlxuPa2wHacHSXNVb5Ul3l5dGfZgFe3FJ2v2JlnB7a4guGmSb32UJWlee
V9Nt7vvWiUVigpSfcrP4DIR6KlPPNtL1OjVaiccy9ygrMytc/JNuV3g1udc7Jz9JFJaorLD8JuFQ
fk8Lz132PuW9iDuj93MaGvWFqx8kpyzD+TxZ1mxvVec0/wV4/Hs5Locw6V/Z1p+Hz/QX1/rvP/D3
Y78pAI27AuaZ+IOz8cexn2M2+S1hQTAUv/HQsKb/ceyHzgFv0Qx8Tul/t6tz3hf8Y19DVq6P0f0/
qv8L/gmfyBnfZon+3anu/blQE1xgxhwl0OcQW/GCkUFJrbeVp8IXtgr2oZhnem6nJJEnbJmgELQm
QpqBwddt3e27FsAPiUU6G8YxjEhxzw+p1u49KmsvbBI+cxYDkLLJuTDrrCrPiRUZHT3XjC7DKQid
ZyYlIU9KaLiouImaEOFFGRt3YYVH8UiYBqfR2jLNJiCQ5ets3CswKPN0SPwR2M0h9inMoV4taKdH
DrzCeTTqxseZ46SWEyW5AufLZwlDMCgYygheFplf4hFOKiu51hAspLu6yqloGyyz27iqUmw8CJlr
VXvxU11ZMJYAMO35pehGo87wG7v2DHCiw4AANlF+mRsQTTMupYXo5hZA4/gZmiLjCFyROM2uN7gn
gPyGzcSJjraIhYDoMScb7JKQgUQ3W5FSYmpPFkOy2rxikOfbNCkm4wDqGHNYQaxHPxqcIxa8ckmR
X52Wkp3Ejs0SsdMpFs3Q7qnYjU1CQxUG+mJ+8EqRdWcJLwzZBMndorPm8F9F8N9SBCEHEv34/4Ms
Lz8oEq+HXxaF33/mDy3Q/Jvj27R9Ie1ZXgj48/+0QN/+mwPHB1HP+T2eySv9sShcyap8UaQj6AZ1
yGL939pAqhPcIqcV1OfABHHo/yda4J+WBhYklyobn3fIi1xTM7/mWAIT1l/WBBQuBjhsqjQNOLC0
9uofPpN/gVdF7/xVb/RM6rk8Vj4Kc/gkrn/+D2mZeJxay26SeD/mdW2u2CBjaQFu9lEP03xfeb59
KJeWmvFmGeTvGaz/l7d6/b7+6cXpjKDRiI/N58P+9cVTryxnu6AaIHHChjRk1yucfpCGKhdeDiOn
5jNhbYI2WOO47hed/ZgN4m7MPT17U0JFoZCZEPfAoH9tt0ZLLXmTQmnIr1PPEpw05YAoMAwJzmPv
xw+VV6rNX3+A//KX8FF+zWt1CxfSnz5B0bFBrIYF2/PCKjI7zbKtjAoejq/0c2uLaR2bhc9UhkJs
WOSzfGeUHWzcJrmSF7PwyhCy5vsG3xbWkIVIeojxfgqK8gCPsUCFVOZTlY30vAAn44xfAYr469/h
n0RnLgKsTiEwwQB61Z9hnL1jj6P2Vcj2kwL6TiwoM4yOwFHkP//6la7y9S/y9vWVAmGT93IDl5DY
r9843oD+anUO95OdCAr+Wr48L2iP3WC3F+ECFPrr1/vTTUR5r8l1zQmfgAkX2W9hsX+4vC2zr+sK
u/B+SrLuworSczqnm/uvX+VffH4OTEGbDQHFhTzNf/2two7lolRGsO8slRGwzn9KO8z2RR88/fUL
XSN0f/78XItkqM+NB63hz4tCnpC8U1yDe2vBqbP4vRWlIdeM1nxxugLChyvPQ8hrhuKBKFVwIxFU
Nw7MqId0pJuwct320mkP6oo3ARyQJllvYB02TqhSxkd48JCQuDafp8Svab1YhAPKPVege5yEF6F6
worMwMr2veX1r8pbsv1f/5L2b71Zv1wlRNQoW3N9y0d8DF22ZL8sShbSKvLQvFc5WA6yYmRNkrjn
3NsV26bosZHYzc+57Awk6pLwsvbzfVldIfamHLaYtkDnFxlpl6GmZcirxasJv/XWhfaAzltVrxj6
o85U1qNJHSrysypxLTKOfbJEEW7TJatpvUjn5zSpLXwAmd4VydYklvrBclbsvcF1kbstKqayhh2Y
F6bsTmIm4ImX7YFUauSNrIrYAZm73m6Cpy5280Nu4CSqzZZoNJmY7ylcgHVFhfjBkUS2ZGmqdjUt
vnNTBW3JlsJzIzlZDLMdyKge7JxyPZhJsy+6pnhBJaItCxEVq49x54ZSf2mtr+CrdMCVOdg7N3aY
5eceU4QFk8OGmbNzcVNbPEEEqF6pYil+SjNtUKdFqPGnd4BNUCyuG8c6nd/8oC42fmV1ezcMy0Ou
8/lmaUPvzkNj3AxBVocru8rUHSa+9hvGPvdTtH0EjzRfp3Hxw8BHfCYJaWzIJhKv9rsjO1DetWe2
UWGF1ybb+raJZbyy5hozR9LhFzNofMB3cnP9PIF/5OSh6VUEOItgYVb2u5t6CskzhTFbVNUN3E39
bJTFwKQa2efWHI24XOlrvFjwfMH8ouyd1YTBYYRz+dnFXn/P0bonyMJWlCLr3n4qnG2dSq6ICSDK
2Nr2Z0Pd17ZILWNjYwOuVtdZ7zPWFE6fxaz4amZAJnOT7JUet2lqX6yYszVr23QAZaNX2piHYNWl
1pfd8Z1jt5MX3ZXnLHZT6qGnYjMlJRharK0rmKLjuhOYRSyUEZE4+DLDOXlkDHiGoPWRgg7bp8Mg
HmJz0VHeea/4OQky1fVGdX2+NnIvfBkYAyBUdSRQ5lEd/5e9M1mOG8nS9au03T3S4I55cTcxkowQ
ZzFFbWBMUYl5csx4+v4czOyWmLrSrVqXlVmWciARQDjcz/nPP5ROFmyqYZm2hQkk2aeNgf4aoacH
j4EtCr9VUZQYTqaVttiKgiOEy3I7G34IATSe+TBTeMAV2d5iIliB8psNiRscRt6OY4ggkch3yZkb
E/SJkSuPqm2Nk4OlFGMqQnAUGoIXMCbzrk9aD6H77PhyY8q0vmE0wjckWoFzwyzsS+Q7+YWwEvPC
q3hdXIMQnYwIG5h8PdMZKFExE48NDKxwO5lp+UUNdvQpJT3k1fXa+ZM1qPGqgHh0mQ0B8U1RbZ+V
adTHpsMkCyuf4bJHiXpjzHB4+3xGLkHiiNeKS4wRvaXZicYt9oUZYVdlLNNHezDLg6Xn/QD79R4x
GdOBGZUljmzJUbhNeU7gwsIcAvUjIak8p2VP/AddWbNSCXdu1c9Hw8XHr2nN7BCmwwxEoMbq2pyx
dQphpWoPdvSKFVq3WpJ+lkScHGIJ/Q24e72HIyr33LG68lyMJUZ82HYyxigeu6f2d0RQ9o3kRb2e
E6h0O6Z5KJZN5FVfRUqiCEbUEDnSVH2J4c0f3CrxnmK4POfS8cSjYVJfQKeOMaseqU4GSj48ScGM
IwwQdmE+Nc2mFybFDMDqfY7v2ac0tbJdZi7jDrvH6dZwajzLMmFdjnYDWBcF/VPVtTjEgQS/LkZs
kjRis/cobrKpKb/cvAqvFqTQF/Ns1ddWvIRXXkuw3jxaQP2EimXIVMp6H6iBOyfs6kZnOjEVseS+
6RYMsYntulm8GgYtZHh+RgZ5+3sEoZDxlMUnyfrAPA5Dxy0Zro7mwfcB9AyC6B6PEedGsDHAQMdM
rO7kgiDEzbeB14dX1CoO7sNugLgzV1cD04aNsOAuUQMPT8mg2NcryXRozod8Q23DqBaH6GNYGs4J
ar9xP3OBeIcZMuUFloJ8bCySP49kduhBVdzdM/rgT8hb75WJ6Z3yYvHJ9B3iRLCl89CrH9tUAhFT
L1onZzKPOHBgM6F663qwGtiIqHEvi0y62yFP40NlhfG+KvtHuJMSiXXHKCkbgbETE9+kEhtvyMjD
UdXDHB95/F72hZFgE59piBuckWd4tmj5QGsBDM2dsjAJOwdoQmp2VnBBdG7Sjq9RdU7F8p+G9f8P
wnJwf/2mEtq9dC//9faT1y/F1//7f37IXnn7ob87Vuc3abv8IywOtL+Czjf9m71i/YYfg+1pC1hd
WWtiy18dqxX8RkOKGwKwletSPeKI8DeaRWqfBaNF15O+lDBj/pWO1RP/CHvm8hBo+ZV8CvwcdDn+
TbntD25Vge8KelZUkWTzVPjsm4HDazc3BDpZ+ImEn+cScgn5UlH8kb0O2y1yok5JHPXXVkUGHTuA
dXC8UISMvR3/Np5Bv5Rb5o9VSeAZgU/+ZRN2jyGnsL+d++bFhMqnkh36mOhjq4zySXYgZHUxcs4M
0lCvTlhCeokp/O15cl5Ks8mx75fIDKyaqm+ju4enzq2Mr9nkTR858Irpa+DRnqdXSWuP11Ba94r0
MD+a0hPz69o/ugMmrkSNElwHqbQnubsDJWOXroxHw3bIw8V8bdjXaKowTEED1hYJUXgetJNroSb0
b1nsM63NffLA6GB5LJWUFyRHR+e0FugcMldjcbTn+9AfR+cgGizHSQ36wy6W8sSBUWMqttg7R9nZ
J5USQeuI0KbMY0vMUaQ+SZnO9wWDNipMwveOVV3Ut0iyTY+RL8aMoHjGM9s2R3g7UeyabbzLkjQn
ao7RvfcEqA/m7+F8GOwXhQ/tZkpDszmEQURCN9VkJ28ajISbg8GQ+VE1vv3Sg/tBHc7H+tmObAzO
AiEeJyjUPGU2uwh2cCAegwyoZjNLWtso0ZymvNayuM7K6UYUc4PrFvNNrWhsISlbcAWQv9E9wliN
0ZJuDdWU2WFEbnxilig1VMgfc2g+CzmzwAObpqfz285xwc/ACMi8c13SezPgLHBm6pBfpBhsJ9vV
er0bbBqiHNoGjuCTEzwhaLZwSu7C4ImCskOE7EObYWna4lEKh9so+oFUWK/CUWjqArzc4855qbEZ
bo82DAGwx6ldTgGqO+6zEDQJkQDKTbEfYqSmH4ps9GShyxbmfOiN+QCjaJDveRHWR6QEhPUzyU/Y
LEfhkMGVnJWV7vyJZO4dzExXXodDPoaHtgtNYuXqIYENicrwlYkq/u7YY6Lqx66QFAGq2fyYI0ls
tpVRDi28BxRLJLX5Jb9+cvXN+2ALy2aRuE1t1TjxT5YG8Md2gTImqu0BQjMIEOxKY2sbNTcRwqO5
9UmNO69XdL2eoehguBzFuWBtNoPOzEjHKHwakTD5W8t2sBGxRzksRwpV+8WkDve3djRVJ9eEYtIQ
qcDs0ZkUY8PUse+iFFQ7s3RSQmIlZAHjIWlZ20Ym/P7IyrmtmcrvHKOM/B0m7Ww8rZ/SByWOLvKZ
AK4tPlp8WKd2WWXE+YjrQEEMY2LYWnDC3ZHvGW+NZnnAUxUQqsr1VypR4PNMUi1J7UiRPAWEO59m
VfH3wZwQyAwLuCV7vaL5ziqDBUEjiYEn7D1q7LRRF3bBnP+QNHX+J7o8VmTqGnpNCa0rjRzDL44V
umMM+kUx9du4zqbt5GXduOsCyhOsRcd7c/Sn2yGd62eLlYbEjmmyzzotC7EJ7AC+gU9HUjs+pqLS
aBiYSgyn+gK/3S10OOJFTC88pcEcPPFlojW0KLbu03jGkilXbf0Mb76FOpzK6WFgFR9TtJoHvDD1
ND9yqN279ktqYDWOeIfXIg/y6cF3UQ57UrGwpcIOf4OFnHF2wQm4O9TyFi4z5F1su5FJ3M4JSiQr
PDLmDxOtPr4IgfelgUVn7UVZ+daekQR+uLLFQzqKUvsSO2ie7zzF4ZOCXXB2+4ZIFU8W4w0qRHtv
D5Gkm+yIdJdNCAG+AIK7tCZsYarcj+Ot4sTADLQu7/OBHIPNkOWQDDzauY+QkknwpJz+anuFdRWq
LrlIia18zR1vefKjfvIOJlvguUEY89VqpvGxd5z5si5wIpmBFLe4jH1UqaGe6O3bHTadqGNy6FXH
WSAolpORnwXNLP9sKg+mj/11GZnLVwI+MKG2xrw9+c7oYX6ZejiqFEtoPc9ZihxnpHBEIu4JGlWV
fWBY4OyccdQV5NRR+CVwNM9O1OBaB1vCcYIYA1SflnUzzQ3urd3kXwNC3QtCq6Y9UCVOc2TatOKc
r0Qsul+80iFndQMsLYwr4Gtp5taoOVyZZnOVg2I3gd9VrlQvGPawtEdBDb1SwTDAsM51Bgf6Y1hb
1dMY5+ohH+3b2Bma+1ky4x6jVtClCu+hZEi7yXu64JtGk9EY+NLVRLH5KZLjdLLhrC0R5LVe09ig
o2Ji7IxlFfB+4Pl1gZpZv/g4KdcBcyEocW2Lfyf0vtjZI3g0z6Pmzs1h05l3uHNUkIBIb8g1y65N
LUVkLuTuep+PJrrmOIzHz2E9FfkWbStUPXOl7cHMhMJnCDvfU2RXW38yu0eJgdJzIhFbcRTCAOw1
F7CgnbwcXItVPeJkO3G8n8a87687TSVEFfOhBp1GjTJOtbv1yrA74wOa7gZAyYeZ2PvTPKXiLhNu
9+dAGuPneSUvTiuRkdAXSI2dWrLLKM+QETXqE+SA8C6OBbY+mg9JKQilvBPWNsdybfBcddW3lnGj
VOfu25VUOXvF17wbp3OjfZEJgETBmHTDM5ky4S4iAOM2qAPnBmwgQsywUjdNzIuuPSPMPpgh9kqQ
2UzjzoYCu/PsftzzuLzNYLvTFTKH8jMINMY9Vf0x7GvzKjPVU6eZpAgSnV0LuVQQbprC5zwbs2N/
Gkf4/bxzs0Lf1Yp9aJBN1Ea0cBbgw4feUxd+D+STebJDZY8vNvHH9WSfx7izuUPIGmiorHwX1bJH
QjMb167myJqQZYvRry5kLn4PkZlsotyF6ypp0oGQtOoMuYLQzNtWYjQbT7R1kRXggkAfS37mStcN
VuouInHrzo9s99ZHiv9QKRuxuMLElvuBIZAtE9mOcIErhY4SL4KPruYJlwqFgtDcYbRKzgGKV/GA
hQ/U4lSzjCW5PTsYacSc1NqfCQWJgzAcnc1tMSnrAP1xfjQ1c3nWHGYYe2xQeNN+YAcaLpKpTdpd
VwR3VmfCfy77mL+Vdn3CrLm5jx34C9tZs6b7lUAday51r1nVSeLSyIXuJW7m/rnKQHDNlYdNKspT
3McAJgVoiCN8CoppiD4OuIkgY5owp2ha68rVBO8JQik6hhgKYu/yPXRYKRKlVJhYrfhe70Iu0XTx
YWWO15pEjkCJ0zGP8WnBziE/1qPtP6GoJmS+ntQDFtUeocZNmAKwQFH30zbZNdqLEC3oxpyUuI/x
xWkhABPLu2BSdqps2KOblew0aQLFuHIp+JkJP3vNsPDYb15TTbsA6oSAsXIxYk3LqD2vuQhUAFVj
JW1o+kauiRzLyukAIXb3CG6JHy4HjF56v/8w1kLuwhmiN8aWAwnDkEQyTRdZ4ONYHznfsg9dmVs4
rRfwZ27TLrG2bebgLlxMkXuP7tzSnPlAG5dAwob9ZP+RCWlGBySM6FUHk1owc0V2E3HIRkM+naGl
t3vcugJIN62POIYy4IPMa2jX5WxFn1AT46ywWIC35Pw8R3B57pdwTMkjjOJDk/UznGbHuW5KiMAA
ZY1BnpWDUKzKu9Mkmvnol8l0K5yufYzHAqVcc6r9Zdo1gWxuirZqv7jslseha9QVfovhUUX+E4Xa
eACSgeGt7DsgK9xznCHLiLmd0BmgTFpGcUiCZYE+aCsU6swK0LkV0l3ue8us/5iyAmIuW16Ocx1m
dRurhHVbWnhdZ3iYYQCEjcetEczLjQG8n+AEkDj9H4htAKTnkiwqlfR2KI+FweZ2CXX22MSWd1+J
/Pfayqf4VOaNF56t0nzpxqD+MOGOuUl81sJlNqKvI2x1zvaIO2O0cATmmb8nBX9S40Yh+r+taiwo
HKbzCpN5vDp+X2JMxmxL+ZF3G8m6ueX0u+wKTtDxFzON93OvwLQcJqwCQYctbPv9kJBUZxzjIupa
Tyn7crToRJ0klo/L7LWvgRK/nOi9H0khRrGE70hmx6ZNqaBHr9904lhNz7A02uqiLFRwxmGtfm7Z
mF8yoyPMSVb9lzg3bfs6GvzeulTMU8N5i6YkLgi/THN2Pl7sPVinrW4KNYjrwoBLd6WkCJ6gWAb7
IasoAO2lDCnbChcRcmRaAQ293S0P0jVCGGNTBqMNNjW689R5qZxh7B6I4cAPcIEdOiJndnFw/LzQ
T+CU7U80bFHoWNT6Eb1Ixo7xWHgWA9N8bl9ZMuWfqCPKByuIqOi7RjsWMMysyXWxSbuK6I0MvXea
NFiAfXeL0fbtIUhpHI5+VCmiJQpux65q4R5VLNwJS3i/el574cJtxPU38M3t28DqvxCl31ZJ2bW4
Or8b1jF4dFwbpAaHOxNwRg/zvvkOMipkpg3opR1QXzrNBDNFgNWcdu3nF9K/6Nt52XqhgGwhH+zD
ku9Xl6/o4OCmVxdYRvAV1z5mMYxk+H549+yXNvHpraNqoglZOGV/Mcb/59UZ6PoBZic2QbPYNX1/
mzWkGA/2JZZEaS0f3XEEzW6S+V6UubqoJoOrup1HE2CMBW3bz29dQNJ4d+8+uivTD6TwrOAf9z6m
Dmz4UFUXLSGnGDuOUW9/IBdSPpZpS9sM+YGbH+y5OnVRTY1qqrLXDjaRl8M7mMTbiPY/kaW/iCxl
f7P5bv7ffJzfX4gUIn6h+i629K8f+5unR2wpm6QDaP/mtM7k9y+AUxBbqoFFjXqy2f3NxoHXZ0qC
h9lfedVWDs9f2KbtENVFl4OgRcKfwc/9X8E2v99PmQCwvN90gbjKSl6z7xc5+Z5Nz3aC5d+QE5vB
+drfqbyFHEvWS/v5mwfzg43j+zdqvRjRrYSwmgFqxH9s3pEz2blHHXwXG7T+pV1JsseH4ClLcLra
rFse9rD2SzCk6uLfuDTBYXAltTv9+5c5MTIxdTgA3S0BaFkZEKq0H+bRm/aUf+LRQpCMWampgNwQ
DYKR/Pzy35+T+s49aQNR+wEbCsjMu71EWklUMoSy7vLCADzyDWqUrdn1HD1JpS83abjn59eU328h
f12UpWLD9XTZRd6dlWVdhn1UB/LOgcr8CAvcukQ1CKoJ2yt4qjtYFHZicfFe9Bwlcdd3ry7Y6DE3
XJ5Dw3ztWIPaTRctsS3hflnYdF1fsuXhhmGK06AFSLtk0bk/bS04gCdcb61fcF00K+J/T4G321iB
d8YDQnNKv1+i/uhbwBexvAOxZK30OcBdrjE5v2WXyxN2wCljPPfzp8fw4J9XDXg9kOBw4eDdNwaQ
6KWTo8RdKgbxiINSAnmzjP800wkjBLFM945di2ukSMDCcwwK/fPr//PF9Ch0NH3JhNJJxfP9XQ9B
UBICPCH9M9zpPtEvDFYs0200/PI8f3fWrE/YEhy2ABZcEP/3768Vzl5XmmYv7mDTT/eMycGghwR/
XfwfrfaVBF/7ZTDd+jkyTVDm2ht5WYzUg56b4cL1r9+4ZdrslrBnkQW8u3FJYnjQoAG565kVNqgC
CX8744ZhDpukzH5FcfrRS6IJj7yX/M+jsPz+3kWdmolhDfJOtbg4YCgETrwit71nVifMWQHuBjDS
pklY5UG+UDIO0BgIPxE4wpOqU50Md5juI/BdQg1MSZAXA/u96JjVxPHA1LScU94yjCmm8SrArD8/
/PyRrerpd6+IJ/n+IGs5pNWsxKNvKrI0j8Lex9j5LgxT5hiIntXFum6mrqiflSqMLcGw7HszD7DA
9GQfJWS/bNs5aC7quaB8SDIbbs4yLvgjidBsX31lTvc//5w/2AU92F3UU9SNtCnv3mQDn47Bxcj1
jsw+Hsj6mJFg1M/CDAUqRPWrSlWfoN+9xS5YD4VqABUWmjyjwu+/3aKLZGpmc3s3guydGI84L8RB
679YQNu9aU23ynIBvMMkpLI3h5RgoREL1oekzyi7rHLuXq0KakBqsgOYBi9BYjH+sfWaWB9Ry6nh
bhA7B+cWEfFphil4NkiSv5RYVxCQygDn54/xrcL+9vvGxYKmg5GksCXExvfzyMXPAo9SNLojABh+
U43kZpd6RnrTWDkeOiV+nSM5wQPejNJhfL9NhiKMD0HM+GGT87vN7QwCuZWpHPbQPbzDsAYbQ7Hr
BVBlhCOXETqAS9ieA4GY8Wh8rA0S0namV1UKQBQiwJapKTCOKU3ejFQHKXME6ExlbWhs+3V51+u0
Zb8t0jNckOp6SMGC8UlXJn68Mjc+CTQ8N6Ka8y9m1oodzuKoWsAIUTfNKN5eZ4f4y6tujstd0nF+
XzFzLVBhWWl926xB0LjiEQpt63xox4t9eGaeZ9RPfZmn484KPe8hCJoYsgaiSGLHJWAIfPWIzGUs
DwDxYKH4fzQGNk1g/G2XXSwkj+FD3/c28Q8NgR+XId3JWUY95XY9hFcmzD6iCAcmmR6QvbozRpIG
iH/oSgfbVZlhXBtHdX3rRUWOKV1gx+HOT1E+ILTm2M1YIx4oCcqpCi/7pogxd6c0CPae6BgTMdd0
XjCwpkxAmyjwG9Qb8VBzCrTJzI/RWufxLrTgAvstlk6bCXzOO+PhlvWczAJHlprBdA834wo2KqHd
sAqbM/Q1oryjec31rpMJhVqUxIgWg+4LhDiXeQdMHIDIVCEmLSIC4Gx1UAHGOg291WiayyfR+smV
xJ5z51MH/EG4eEX7x2jQC2R4QNpQfS6C1vlUWQbpFm4dv7JQpq9RH6Z6bByVO7Pn64FF15WAM7Wz
K4Q3bFlYK5srLKcJQ2nDQG1Xda92g0vehPKhfjQcP8mIfPGZplyVZR4Uj95AVHWAGW4+V96u8Apf
p68Qrqwtowg1CiX/L+BZOVg72Ykh4g1RnjNBruQPB/UnIwb45uNmKX4oTBoK/2CYuvhZnOked1ye
NLLd6mRGUGPZ7Q37pfFHpjstM+AZyCrMP05Gyzc2h8x1MdhiCjZ4gR6Z6elZMrMqN7EvOExtYlRQ
aQivfg5UyzfrQolCVq0nmqap/N0YjCyvMmJy32YDW3Zi4wSMBLXbLrNrv4RMTDZRYlKvdjmzM9h/
zssULsETMGL72oL4EJJH2LZhsw95doFoRsU47TW8oT4qZotfTwIeH46OozpR1oVPPZrsXTYX1Skr
M/nYmHpUjUkyuEo3sD+znQFm5nZQRDshOv5JRG5huxkSCp+3SSIMHGaLPt4aL0pyUm+63OK/AIRI
r3GMYouhr/bPUVME58CrpntU2xzqb2QrvUdSw/nnEH7daR0uhpXfoirWj3KdSbckG/UUHHxaRhuM
zyANwSmn7JSb3knm22atRbIco7wbhnQMWCNAnR4c5nrtjWc9isfiONivpIE+od2w8lSSBgw5Pe4m
zS/W1eMsefYCyimJhry/KUyjoX0lRGJirsif4I0DzjDChl6QDc4LxOhgjwiqfa1zTluU0M1zmpHO
u52Sdr5fC4Ula8r5Cn9H90VO1PfkyvDVNnyYSfrpK2MARmMJjOjLqtHeVzGvtFuF5nWL4X91Zhnx
3QG5U7xXDQdPC9bThnwiMzUpwiuybaFGZPUzCQic5nMGJ2QfyoAqvV2YgDMlxNC6aRWffOBnBs2H
mxmlGAqIaS1w8DNkILUwXn9rfiw9tEbOCLkzd2Ybw2y8x1N8EV3gh9GZmUkXjv0Se1Cyjxw7fEAY
laBavlGO6R5TrPAPspG5eLm+QgJ+MNNzNEyUQZw83U6Nd749tq950PId1aFPccffBuQ5qD1hi+xt
lW5VyOOFOThDKGAbsC5dvunrssVKgNupThhLu/fo4NF8G3HOp2WKpy4YK4pr8ieoywkquTYxg8ad
3O75zelAuWoz+e4/1GNkxLhmhfSAwiVRfQMrm4EtgBcfJnRYwB2+qPxV+MHTNCTeY5rBXN53jZkc
LRmwRlZEKi5GnikBW9z/uglkuTXdz5hg+Ns8S4KzO4P6NQFvWO3qyxcjdIGVVZB3on5Osfc7MTFT
F5T7DTY0Ft8qIaX+jnwE/RxGStCgTMInI56n22mO3Bdso3lfzRwoTCbERewihzdeqZZPsq5EAoAF
1rcJW4AjqNH3b0QSO2qi9jaYQjle+pX+gtLGZmuSVdhcFAr4M8HwGQ862tGWBMqOokj6OrhajlHx
MJsgnVaaQu9gwk9SckobYpM+C1UI2HljSZ07zT6P6Qm+/JpQUfOiN0wOb9c75CSiRm61SFpV8CPX
hncZjfp5AV1+HCCkPyZs3eZmpKV9hK0sHvHb42vpdJW2+Jr09Eap0MfmvJisqDo3YKj4K4vDqYNz
KWFUp72Emdz3dDL6qUEWnAIIvSJfdlDjeeld7gIdt/1S40lsbUvNn2JAyWu1zASOeNZiHXBhh5Hg
tBHbUZLxcklbg41xqxzMSlnyPQs8RJWYhK61HwcGNHPiwOZxgj537ic1Yn7IzARqjKFM5+UvxkoC
8aacwH+Z0NqXGYm51T4I/DG/KgaXn0YfIJsHOKojFXsID3y76MOFJGC9900yNY5VJNjkKUUi3ZLj
Jblg382aWPQDeNuLdOM+pJJ9QW+sKvI4cda1i+8fx9rUocievGT+A6VReLeuTxuTlSN5xyj+ysbO
Pni9zxLxzR7Ch4MVQRzNCg7vuiBw0Pb/rD2MiLdA6OrCSMsA49/aeYG1Kh7XVeFOmYa6yZBlvomw
RzSluE4djTZgJ5BUW4ZIosSpbWUzLZmx9RoJCKGcFH5Pom/oDVbFMDLfKnvk380UQmpH7ymuhc0t
sOTEI7T5atyJPOLN8sKGEwYmGn7FNYumTyt2eysRN0gyljs6dRa1aQgIWJA41MW6A5L7B5xKCjEP
G8smfXx3KU/JwuEaMIgDiMycyJrHbT10bApVhFvRoTGYre5LVFr4bfQdr5nVzFw3qufpvphtWoKa
Vo1gMTgqkYP7G2qOAVeQUdqdsUPiOeHiTC20PAzCT6aLrh/K+EYwca4uS7bRa4XvRETT2Gn+U4Jp
384U4aIeO6enCImMLHgyxzo5lvWk7xejh1u7l95D70/FjbScL7ERGtsMH1UccxqiKhQ7+5hF6Z8R
CQUbD47JxiJ5J9sOlcULPMGpS5OaE2lOMMHtgDwDKpTZfcrSmeec1HyhlUOm09HoU+tglj4mNVFD
uGo8TMVlUtfpB8tuhdhyahaXdPbThWarEBta1yXJEGhbgimnXnDlxGZIkRluVCvJLJimtjOvGr35
X+E6DhAJ75iaqrcrOpi8zC+NSoLCgLL1hK1DrHmIUsnXo4qav2J7wkOynGW6BQEcifgg4hiBAvtS
M1DjFLqka2J/us8iomohghvbXkuM10Y5Y8JwGq2AVzWIG0YZpuLjwUoBbCJUYtxB5OGTTuthEsbs
2wsB59nXihqT0wX6wR7Sj3UJTyZ8Cv2QFbQ2hpEZlfVVjtKDLa9jT6vcCdYSeBrjMtiC5ySImJnV
gbheuXnC6NpXuZAkhcc9wyeWk3UoXcn5iXspq7WI2K0WUg4eB668XffNIM3YHKHNWhgooJyGPsCm
XoeBfy6Uj2tkCGXgEVeo+jkjYmJTdex7CkLadZezeJIQm2ejcg6uzsLaLAtu9lt6u/hC4on41R5c
syUOpOeN6wyYjU7WBGfjrcJoCMXVrLgC42H70vOgX17SsE3dRUt/s/H7Xh0hz/eH3JaksKD2REeT
LeKRpCEgOydgVwLn4ZF4qcGxQZ4FncQ6r3KZ8j3GINa7laxXOxPvwxJxGL2VzBhk/OkydyYXpyzM
A4IZz9+7cycPXDl+jFU/fZxidznH2DF/hOKQ7VreEHZnup3lALNSmxq7BSbqs10bt8rAxnVLOV36
e0tZ04WEyPalry3nFSOi5SsG3APBV1NLuT0yC6aukidRt+ZZUJQdc8CVTxCVXYXyJcRQtmnKlJD2
CuGEA4HrOvFwOopSN/kdw57owaXGx46qyNFft455nH1nvg6sOvwYG1Daq2bmNzmlmbRUymWAn1hp
0LEyYBsF1FGTeB8VDO7bvOs/E55fTXjcFUD5yYQnab9U6Ce+H/C8/dRfAx7f/W2FiVFQY0jrIzn+
nwFPIH9jQbtA6jbhJnCU+Vd/T3kwXWCuSQIv/0bCLwd8/HvKQ5JuwIyb9midAgLx/Avxge+BN601
dJD22FD1cQR/b8fAYCLOCFZy34pNVSBFdgS7xTLP7HqdovX5OUT1owt6Euja1ribK96hqhl3Xcu6
cE6WI/2dGBABLRq9dnMfqxHcf34xkn6P8+kb9GyX58V4BQnBO5wvSF1s5RiXnbwqdl9S3VqsxWrr
wGb++a29H2JxKb5qRgIOEm9ICO9uTRH/EfWZsE+Z7sETUjsunG5ha3JhQl932GA/eRnx3Sgjf4Wf
/uAu38KakRozRntvojk2uLeYhrJPrQSWLn04PhusADngKJ9/JTH+x1SAG2UFks8Cxx045z3IOFU5
Xp1TYp/GimEeLSAVCbkiJsXw0HmcFiUwXHxFui3tzqxoktkDK9qWKU+ANTBN+8VA65+3jx+p77oA
ueg6YAV8D+amIqbPjUL75I8YG25XYrLJOO34b14LPieDV5YwC+fdgoqw38TlebZPVjuCJ9hG+4q/
4XTf67L65wtKL5hvwVwYBuD22lzBM1la7yc9CdU4x09vn4Yw/vON6CwB7H9+kR89OzYhnBe4GLvU
u1ULsG17nczt04Jt8in1B5oZ38UFTlB7/2raKfTTeX9LFpReCc2FR/h+oOSHlhgWQ1inVCYU1+sA
BUkX1ffKzvabjI7InXlJ9cBpjjvyKYfQuvz5Pf9gBcPOZtsz9auqi4zvF0woIaqEbmafJlKsr6ys
xD210aVRbbSsUBqfYp9lklp9XnommevLC6s+ObKD/GoC/aNvwLYt6Ov6m2YG/v2HyfLAnQqSwE4t
+p77tU5dxR10MsH+5zf+o0vBMPKZoHG0/GPOPtU+LbbXWKfE4fEGq6rFyLXjjq/p/j+/2PdbPds3
cn1mh4HNycLk6f3yrQm5zJumNq6w86ZDMAzFnMkC6FpWkj/iYv8Xa1kH1n+zvPQlMSTwtOqL1Yw9
gf5I34y76mzBF0F4wZWJHeIRtQeFfqtafGlGg1lpi9UOnmp0A5jOgSpEaAcKpgcnzygp52EONxeL
LpbXHeQN6pkX0JRNGBsoZRINy/z8IaE++/4zc/B77KYsRCgdCN3cd18/vjupPWGid9XmZoFZN1rV
KnGNQyTarN9UZjEzU6RZUBVc/LSe3b3gl92hHAcWgKFP5wnRlb03dKLudcGa43WSGUv3rauVzDDi
HZUhKIwjaPM22LWBWOumJ3eRbZgpP6Y0kuZBaVdQgSWCFpk2z52eWkEXtq5UygPcQNufbwndBUuE
thI8kfRoIHwPwkZciNbhV5MLixq3CGLyWnJFcNAmgkPvHvOy4RoaoHLbGGy20ZG99mAjdQZIQvsU
V6yQ2qaFArPvlqNBye1erbO5tosKcHglyvgKh8DulSlS8+zVmERfFULTrnyqFkN2Bood+E7JZzEH
fGXeYrmY5o3gQ08N6t/nssvclyyRrHYbDvfLLAIA8pVE5Q4AtwUw6Zd6CeXF0HjNvXK7Aoo+ba+X
RITEyzYYHLInSBfcruijAYX+BKbBzC8EprAmmyfKuPBptmVyXAfk6+h47VAR9PJ8AjQP9xD7lyc5
AC3XgYYDVvMrMan2NSsiqa0eYBsubQj53Z9V8NTXM/8VSQfWZRCW/JZCt92404Cz4Y4JXUSfqKTU
+AeSAnIL9VWsUk31Impi9jzdqMauzWQCH2LvKtaFyTqjX8F3EynMfcY0bUJmYAAbrgBpkxDvuYO6
7bx4hHaAYqZpjQVlhcxxi6rec6/WVtIA3yL90R4YEctJE0AwuchIcOo4F92K9DxWcDRH+2LxxXVs
MPjazU4BJAOgD3KBJITzBtk6DbMoLdbyQMv31MLPh8LYYRuDuex0Wwufs6jDEVnnlXIu43Ph0N/X
FkrrxcPodSsSRrhD1TgvLtM0KDulCnJo9EI9RNYiLxZyzLydjFz7czkM5aNPnMgHMijyXYOvgdiA
CQj/gDmIukryCrOvXI8S2nyakNotRCCZbeiCzi3JuDFd5mIbz0nnax+zH+JEYnJPiiwItonTAvQz
9oC0vsyPGRY6MNfjukZAQIpGyZokQQjjxDsgI9I50rAvAAxU96dvL9WlI73+OnAdsrMQUOAe1mfs
TNtFo7qjWcOs7iB8fMKPQrWH1pndLzh7EXOHR9CZUaeKDprIMRKSXMPZR19OjHdfXQfpQNxmubTx
50hP4Lyqqz8Q+g3fuJzDk5g7rzn67eg+1yBs+O4Q4Ik1WnVl2QX+1dNoL5+hImd7x5ELrNmBr9GH
6rNFUF9+TtE2daQ2MfLNTOUddTEKI3Vi5rnTFIN9Qw24GUBfD4WP+oGNiSkApgj3PZDfJXSW+jJV
cXuYnX7+SuDLSGR5YtwhQys+Jdlgb/O5JCepTDKwaeKPsXB88Tqb9wOgexdKUiL6QYlDgZViqnwD
/JmBJczREB+HTBHytHM95k9IHLTttLNRkHuiSn/z9Xim0vUv0MnNzq5MBqw2CChjUJgH4Q59BH61
0Ki3hJ7Fu6Wasc8uqv4jMScEw/w3e2eyXDeOretXOXHnzGBPYnAHZ/dWL1mSmwlDjc2eBEmwffr7
QbLjWNunpKg7rkFlpdLy3iQIAgv/+puh6nY9nuEgxeZTQeThV1Gk9ioV1rTrDGLT+oLrEJEqr9mV
FtLIWd7PfLcZVzI2eaIBLIQz8IfqCsqXvIJex6Q2fCqyh5e2gWFnvBKdbu1sa6mICPYnDSPZzgSG
zmqrnuPWZEGqFzSms7kwZU1FJ6sNejgnYY/x5hZrAVI5Vd2Y9JBpxS1rWv81ESU0zF4Qr2CGt6qw
vwaL6T0CFomVQz3cFvrTrEmSdP7Cw4MpQWGmzfeMiXNUR9hqufExr78dpMur3yceCfGTCy/spfkk
JdNW+07SN8nB6r7ZdRNTzyU99BgMBmrt3dPJ8jteraH8OcvB1a1FhZoBGey2ytzxB5yUJiYXyPC+
0M8nYTcR3QHDEXx6qylOcS23suSxG9RDBqy69dw0jtcRMqnuK4EyvfE5XSROeqGdhBcDaNnaJyJm
m4xjQwS7v+zmsJJ3MBmIWRKBO97h61/e0KL4aRfEN+Nmc4nRCsCVXwQFBgxtv3URZz3HKomflzQd
P8d9wJPjjc+2DbisoBURECU0JGk+r5qiC058DyhoM40Ew6w7eOLYmPY4kR6UmMxTt6nn86bDwNRf
ptRYtSXpxyufp4BVCXjCPfLVqdpOliJSr23dS1SuxWWDquumTMNm3dYWVtYDAXuY4TqPtfCHU+VL
rFG9yE6JTA+ddE1OAllG/TIiHWwKlgsReWSRhe4JdIXHiMyZz6OKc3h0vXneYqf8PR/9PF63yFzY
KxH4rMCw4wsBaHaO0YlzYohRkGI7xN2DnY7yFNa62FaIG06xlzPgXaiubDGNmFPEh1VPfIxl29Eq
dTFPJOK3cm59AiUPQ+UsJLkm0Zk598u1Sgh+FUM8fusL1eAb3XVuejKl0+StwxqODSIaQp4v/AmA
ey+SviPLuDLOsmCp7zAeJFDUyBGDarddMwcXDceLkR3+pzU03Xkv5bBH+zufQpQuSSAUSQRqb3G8
SFjc9gRcWyktZUmzNR6C4Tq2B5x9qyzCJaJjyfuWT8ohCaLwzqbUZhlF2STUupFDNW5skokjzPBr
+1wFMxnzMKiscBsWgcuCaJH8bvt9tBNGQ6ScBN913QabjcJH+doH6U1HPuZdb83dfYiMdztMmGMS
EkNXBBs5MrKAvcm5zwL8ecaAKLBoSZ4h6LAPKROftcgYCFV0GaqrYeGcUhVA2KjXovQSfth0Z7aj
ce6lCmuc1GmcXWg4LeobWXm7pgs8ooTtVHT7nrn7E6By+iJDRz2NXhQ8j77y051Jo7db0/yi65LV
RdCuohDcflFYMG/aBDbTIVDyp5eQW9pl0ApWS9qpE2ecyKOq66oh0SJt5pULBW2dsztfGgV9Ydv0
I0WsKTV7vMyEPEPeCZKVh6oiPM17EqgNNxi+JvSrodXES3YJLhyYqwiF/GVFUo9aYSZnQBx2eGrI
JiwyNOVYTP39hIUIkY8v9fp/sNAPsFBsTDmY/Gso9L8L+Cdgga/+Hp+e/+//ef0bv3nutviHHgzm
ZmEAhxPQ6DcMagUAmvATsUT0bBzryJP5jYIG1j8w5vh1eG4erE99nPuFgnr8kQeIGNLqAIPBgu7f
QUG18eUf50Z9OfQGcQwBz+I+iaR5e24kvGQuy950fyTmIrOfEN4jxySVCYm52iiV2fM9VMpU7brZ
KVjFu9nznqaokNWZVeOIZO+kgWE1ZumhQUxUJSKMvTEmy3FUa83SyGY6ldJf/BW24/FgkBY+NO6w
dop+XpwNXdzOvsQwUvJaxSbr8R2ca7gJBe1dyKcuBxobsVcPTLR3OjI3PVzvM0+0a/KecbDaVUPW
ERGP6hKPno9O1UegDQdT4QAOh/wP11r7eHQIBLZo1yzeD9mNA/2YMg4SfMNa13HycxEjeDdI8kir
8mfjt+l862oaeYuctW+5n8oa4+nuj7l19QoY/Sk0sv+6pADHCBicOL8AZ4hjwFPr98u6a+NnxEVe
fi7Z9vOTxe2pDveJ4acj5rNBCtkIto4Me5iHE/w6khRlnT/UZGvj+BT0bNon+G90ZrJdongh67iY
eBRbxcl2uU/wxzOmrQ9Zx79YlhysfFsKt0PdSlRbH4jXpeVfuoMewX3AFnoO0tQ38UGlLXDEb46S
nAKAOumHOcJG++whSq9vSjInlqv3R4836s/Zzhc5eDa5HCM0j5zvezvb56JsxEIh+ezwtC1nKyEU
uObKNnnDJyfI3Muxqz1WcBR1haHW0oqD4SZPveojd8wjPEpfCS5omoMLbANmcwQ+WoTjmGLK/Oeh
Q9N14ck5UwQLlAb07xM4IcRFfzDIx99oETeFfR7cMmHRXzlWjnlNltrEycoHNL9OPx+iGQbmvbVQ
cNprP4pHgtz+vdG2gMqxGKUtQPiV/RfW2KI1DmNG8wGfmJ5PV9DAlqs+hWR3E9tQYOZNJPyY++5n
fv5RoFRtLycFneoD2PN4grHAeggl9AIceBbagbfPneCkaRhF7HxPTGXNpzRz0xmGJ/BU8sE9H4+y
TU+JuyXsnG9z/gr1yl2vCR0rs75jtRCgJ5aFfq5phgfxYYDIghz1/UE+koIEWofxKgb0WAxYxN/e
GgrwpQ7Huf3eVkypZNuiA+QVJ2Bq5rlGbVPAqkhSGthijQE/pJXt+xfw0t35A9mmp4U/DxAeCC59
Pu9YnTC7cVJYMqi+Qyqe42rLtF+IVUCyLLL9kibtcjW0Scv6hKwr46EvM8DIsDfoEfEOlj5Zgcmn
8XVwyoyylka+Z8yuv65pCJJbuBScVXSiyAgXckN5ZoTjKrVyhW41GL2BuYW7f42aP4lMBRPIsdlu
s40K+nh+ssZ2wh8UY50q24YTOJhCdjo0hJnUuYHrwbobONDNsJLga6p1BwLEM/Nl6g63eEa2fLyE
ks9lBZ1p8mJ2QWEMBAzl9tJk5DXSfq74TksJuY6yMmMNNjnnMP5hnLXOAD944oR0mlQ5ebbvD/9f
E46uD57yHiciTup/Te2+imRCruP8rU4ap2wPcMwicjXFonALIjhE6R3h/a98izWzhwVg9sA3zDvK
BoSvb6ccsVO4+Xbh+E3EPt6u2z4Vfn5OE9jOjQuzM7kCDSL0jdxNnDF4EAC2+mrev4zjl9oEUQbP
RxCj32x0t28vw7Big4CywHkqeiw8icecpX4qzIZoHj/4rrdQNfbg1FqIHoXD3SPu1qmAf8Lr5PYW
OQp2+3myYrLhfth4yydEd8uejZRwMr1nFLOvnfn/3ZtkU0SyQWwBa+hfqzaU0q6F0NI9TaSfMBEZ
/HC4iWwjZYq+/1XW8VQyHQSZ6Gt9emFUo8ftmKyurXwc7PK5K1yvDA4EtFd3ha0outYKvnEsLyex
RGZ5Vqdt5Ztbb0jy5T7rAsnbWRZUeMw4zCfENVkntPbXyVDZxVmOJCCcD/3oukzQ9y/6rweD/bon
wAN4OubfbXxL5CHoq1k9oUppuQpEjHn2c7BmA8p9XfqsHlE5QPH5aLD+nn0vbwArLrupbR3XYZGh
/b1bz3hkqbKABjHrSzkmBqFMWnNtOYQLF6S4uXnwgIAKCvGmaduWBaJE8zPcpuUysmjQi1jUY1xZ
mdg5EJvmUw+mHGzXD0YpPH62XGDgvbwmQrsJHj9bLx5lW/Zt/ZiEKd3tFSGzarnq/Emvbr8WZNGB
ol8YTpTyNnWV61LdVv6sdxWRu6ykTMAy++m/LoKwRfMF3z/LxQT7taLEoJdyyZtwif3axQL4T0c3
5cxU4hU7nk6FiQ3niopeKE8Exq2uOQ0MU/hCe56K8DpKpJq+LbM+E60aktQYC5KjHLY01EY+y63t
Nh7vd5OMGF9Iov/KH/5IPIW1clREfcHrL7yvFSy+5b4lupdrRNEm8Kewqt76Sq9XZmQ3Yx6z3C8Y
hw63Q9tQkXQZ/2VcJVWm95MEDiXPzE7Q/DYrDvWAWuvMkQYvehTyGRgnm1mWxDuUOH7lrboxs/lN
n5wMfiX1g670994wJepakQvO7jc3xK2zveBXwiacxYKvNgg759cXopD5NnInpH8B7S5tvjVh6g2H
iP5Cel64EAv3o4Vt72nSGHN/0k/9xFyaQuTwJHOhTJxPw6FL9M7zuuQ3Iehwe5Bho+u72q0kUeu/
bsDLiP8dVxXcERZnkxRyBtQzK6ZfN8V6ESvKwDTKbQPyz//B1ZpLsqok0Ya/P6ORDd0wB5fjNFkz
5Wqiw7F69RiD3klnvnpiY8pOZqfmnuLXUXVBzRk5LyQZS1PTSfc5wTqgZ2u1EqG/0TECjqEzFq0M
i5wDQMINC72eLrVQlOFOjhlqt80iPytvKmKNybfLKMSYLtLLbN6poRIAupvYRjGAq/lk8oG0Bqwo
2KlYwcM5MdyJ+q8pp4ExrCcaL5iEsDBa0eewgOhChBlk32L8hF/NACUvXmB+hpvMmvRmNmMjqW8i
EwiQzhsnGqp4Wxutfu6BPbAKbNsFMn65rem1cyUtCg1+ikPgp+FEdJQc2aaea5dXAdpoyE9GrCAP
a28jXUPM3D3/cewzfS2Y9DgUKXiC8goSVJYzU5zF9yko/dDh8jLwUH0QjQb8zC46lJ3eV9xV+GEt
nDngsjJX6DFuBkqgn/009gzngrMgn1RwpnUPmSLbPtjFpq+nqMYKhlsZVvwTKE9XQ0EG+/2Cs7Au
2dwx5T2f23nRi0eC3uUha5xWv9KkO/ChrelaPAmv4yAMAC8th0oqRYuBT3odyG4+DJMJVnY+0NLi
A5sWL0+qPg6XelY7adqqjcxJqPMOU1jgErjJzFuReKkYNha9cL0yJUWSLTtA1x0Uxlg6O5XPsUvy
bILNIjmuplyuvHmedBnWhbbvbkU50k+hUIC+c+F7WN5gyW0qqMAcgDInvawtyOs4VGa9fsL0RGbT
2tm8y4TDpB00HzpCbYOJ5XoqMMEeT/OoC7hGeBw8m8YNofk+VAS5cTNVlM1x/ZmGeuRifd7VAgtT
30yJyN2yELPcbMEksxlyqexrQbg75T15bIi0VHKInKz3YmizOcus/7SMNNYSvdjO3LPIIC6Qqdsm
U5LEZwRh9FZAKo7o9ORJM72kBGqcKcDyOdLz0uynjjkUOWlDHUqM+sKfNfbQt8gxPYelknqdUdqU
Oc+DZEEo4X1zQV/M1hVu1fQ8pQrpJXtBPZcjn4UiWa+CdIGIriCaWEZq2JlERPKbYDINf6baSK9L
uTmU0zUUcn0USugssUpJd/IZP5UYrA4Do8i7YNmqY0INTeug0eHpN7N3GqLwcA9h0S26gJ6Mnq92
Lbo3csdyyXY0zDJgly/BqnnzQrfQm6xSfcN0nOhA1PDow3ZmfSDn1nAvJ5OgELDgGdHOQTbIvJMt
+ksUnEtp6xJLR8LPT/jyA6/8AlZY9fXgjHXj1Nint6yq6IWTbMS7SMeFtjCHQifeNNFYRVvXJKfu
M8R7bj6t2fznF18FrjjIRoNRQm8Y8GJnBAwxeULsdxjBX9Mak339ZyjlHCbuQt44V45drV7uOyNk
07IMZqWzdYJW2x1RicYm76dB+p5au/QmA2s1JujqLmwcFkhDFDk9aUgB1ux/R5GEk59ZTsWt4IyU
MYdaOt4nfiXJH/HroZdPxCw1BhKJ0nDPI67UWWPWnTbfU9bcZZcHVV08u7ivtvjN+mX7MJJPMV4u
ghD3FfaOUB0gCY+SSEtEECgNG86+UJ6xtQ2Hi7YhhEq7+5mldYagh5ZUFKrBWjc8I1IR64lkOUJN
MSh0SduccuLvCEpoxxmpC+06W6zghs3qGyYxvfvZL5A3xiS6ujk+ZKKw56gmG477j5inUaw+qYSd
jJPbUowLic1psZjtLsKAW1skzFG/8lV+jpLTkrtBBDEulhRoy22c4e7LxoedzUk3z324clxlW2tc
7AWm/6AWndjAbwiyNX5ABDHHXhEfAttRm6Y2x+U0IgzP3Fujldg7/Agt2riKdj3xc5HjGVcyr0v3
jqzBNqv3JmFbstkKsi+n20lNjjo3aGwbN67hdsu9gkyOQVfr++0dcX4xJo6F8oNW7sPJQ3+4MgfE
aBuirop8H6UKdvxSu2FJRwmLTjtZB+3SNeGjRZ5j9ZwQIjZMm9xXc/NDoD/p8R8OZB3QW+08hR95
VDVeuOlz0yv8fYQ7h3+BTtPI8/3gS8ra5EeC1ZcS1romIdyuN9iPzeQ8+45yDC2S5Wayq1/VtzmT
EG7dIJiqaYaOdao3VFk6pDffjbMnpbuR0dhGCPFMwrbyA/mKHtVYZI68MC2BCMx/uN64ye2hoQ96
WxEsJLzcTajLx5YNnNchcX29whEnpCtMzCEwld5lczGSm86NyTE8XZrYoCT1kmZg6/GSMmOXgU4R
28setgifSU+71tUfbHR9cggyqIBgy+5QFmLfN2Xqf8XuVPvKWxJautjHhgI8lX0DvLbzuo7KXueQ
Snvv2kRhfx1NajeDxO1RspZlYao3jcgY9RHdKSG6bwer8hfnIFy7oCSqbIBD41PZlxpSoC5BnYeT
H6nULIiERbJH4/3hUpogyFcMkKwCvXPCKAHYWLdxEvDdfYD30/J5AIziz2rk/XyYmdWYC686/De5
/k5kep3MXaAM2ruZJbgisITOah9EK3S9KjAdhq6j+tZ/pGtc1YhUsqA6w3l4YFtUUupaqpKBLlkw
5dNjhCWQr6yf+Odgq7DBHHjo4aHBbzEt2LKYeCMyNxE0lees4bMukV7wa5/wNnapXzsYlFnGMa9N
DcGSWK2v3nIig4GkfZiJej+nJYeOAvMTCteQfYUr6DsjYfr8Homl4RVa9RLLagDvKuET61JhcbzJ
rWoOETgSRc+QpTAlObOUU+R9xW0BMP31MbJhWtY9x79e3YZNNHHHDv1gnlFPp95qLyoi48ZE55qb
kfg25JBi8kMi/bgcP0EB94fbRUNnycpapEbT2xYb6eSTNMlit9gokUmNSJ9mfZAPfVIxv5Y0IKxp
nY5QSdTGRWlD4WxHGsAZatm23sGUcTeEV6RF2HV65tMO5HrmBVPIbus45HYg9s8pMm+LztWvCEHX
GsFHecEvRIOrCzWr4GicNtYLZhX1aWPvGzuAWLCJX3fXZBhiNs2+HjU25jiSKtB3Wl1vKl/Pxwh/
aSprkxHIfiIKqviB/65/+xXuG4swYLu0Eq7LXidJoEvD3O814ms5Ul/t6+uRK4/nUvRjzUOFreio
8syZHLJ3hnAkxgk2RUAXeF02zIWC7FVqgmzntq6eu0Vli+q8xLV2UJu4IPQVX0QsOh2K2rGeeba9
MZR8V7W03IKpbbMBK8DJs41ABwwIHYi0fRhamHol6GIvFYvLPLrOmTtaKq9WkWczz9DE6EMgNAtO
bNBC9APpXEF5ycGT56xmb5lPHWTn8ymUx3mi2W47Tf4wJNbEoESvlU8XmwO1RleHLXebTgLjzu2v
E3G4VILCYIpjkmqwEW4cfoo5s7RbtP/G9OQMfbNcmcZgmmuE6wnHkSFp4844QFl2+lt/KRzsuo3R
Am41iPbWNTtxW1RhyOr0IT/ADJv/GEMKGW6jLop5aqqkQwVDIzQWCFzt4FXUKMKrl3tGXa+4i9Vw
5v3UQA3Aw4/zA9PJ9/h6ehXRopdKRIWDf5CBB25PtPfE1D/AS0w4quQhddTrq1cNhS6tCqNEnYTq
HiJ9Q+zSoFHBvBo1fgRraOZFh+QajtWlic1f1TAgiz5xe8JQDCRxs/oV57Qcy3MfFrP2EhmzeB8R
LNNfoyVbuk9Qf6ziEHY2Zwo2NsOlPoA0NLB0Qh6r+Rjhqpa1KmsqXYliBMUqDtXt5dSIGBTW0KcG
2hiLFAV/DzwMcmUXWxEP+hT4erAookVfdL1M4xyvectm5A4qXDjxukOoUW4OSSazf0yqikeaAshz
6T1+N3G5JUYyUor4pMpFVyoBR/jFZWZGQUTVC5biMRrJesq7NK2wcKdxQqszcar8waknfUKfX1cO
MXW60C0tMrA+wnn/F8wI9yPUI3SoaZscA6zhRGMhImf3cYqUPmcOkBoTb2O4uCkT1Ne33O8HsNox
qgZMhTWNhz8NVMaQwuktzjrLqgpN5atHzx91O/p1ahShoZHd9zGxv7+KuFdqXEd3wOm1H/WEbAxJ
lgF04hFqjl6fat918LaYWKxZu97/rhc08M8eiQV0HODfpKFzxBrHjeTOtLDIKHLncXJKfE5O+6Qk
/mPt0azgNUyQH7EXLn7NotEj+O8AUYaiIeoQ6hvnblAI3aoVHHn12vO6Mv9q5lZtrI8IVeB17AmB
34z89P7l/zVUNHjQY2C6RYAkhrb6z/8gl09thGvQGHgPKrUmroMNSh8L2Vw5Qr3/VcdzDiI43Hl0
gcLiH+FL+/uPr6qwIR1p0CTfcoLhy5O0bFV5Z+ej3Z7ZnfpAInV8Xw5rmbYUc33EZqhNjmabT4Rr
msiu+z5gUr/ce1mgF0r4vnohev++7KM+HZ+ObxluYqh0GEbHPOpWxONkFkU12HcVut5wE3HaV/EO
UU1KYZhmI4O5ouFd8n8B5xt2u0mLpaltPFTmJJOxp51SIej+vRyxyKXsXly9r6UxGzq5WSAQkMkT
fQqcDF01h8ScsJYNoa9RlbwETLwdkKBwc0bu8ejiGCY3vcIBFyOKEAsHueaTYdAcLXawVGP3/P1B
OBpvxgDXTsfkpXPxd/yrweBB0xeljxC1LzM9kaMaZC9fGWNNofn+V+kQnD9b/fqZ0pH0IVz4ITDY
cZNqrCUQhOVGt6Fbv3xXTy7ERU5WL7fa07+lvn/tvReQdBiFaqo0qPDrp3bodUFtjCaD67mBPv5T
OkkWdrvEYmj8ZORZbyxnHf03ErlSWebjHpMW6ostDsRUkykGGuziv3BywFWNuRpYl1B/LKG58GdD
XeoHvngZ32K8NJOC10oe3pyGRAwv0U8ys3jJx1UA2ZznrtpU4zC/EGfabMzdDIiQjTIir50PnK1y
5MTw/pCGbx9fEOjEIdtEGUleLfx382gKN9wBcn0ZPRWDE3zNWojoO5tuwsHPQ+kCiSVqB/denM5h
WkQb6UbVoSRl5J5EThi4VdhXe9ERySaMmcA0P1HNXUS510HG7YZknYSDfUhFdl2CTD9pZi0KwhbH
ijXQp385eFF9mqAAPqfNnCzak4ZwPYMMgC8LbZeBiAcsYnH8EKaLF5SX3xuLodhLsZMe151or1xa
zTgP4ZBxHsztsFFybra0kIr7hJYXunQbUC2TuEDSGR5BvJVVfKfJ6OHp/2JXsDSmBQ2xDW5t9sYH
mdSWt4paP6Hij7tub5Ose4shUn+fOk4CD8o03GqDGTNS8x7NRWHI9rPvdh1ch6g/ZFOf7UDVZkn+
DL2Y9TQKmLC9Ww4n8Cm3ahSwssMky770iAABmaI+3+DTUN8uWc8J0sXFmcOx4a5N37x21Ww+2rPq
vkO5Ju2798gamfzyNA+6dOumc/qRhOfNO8aEoAvDYuaxPWit7jGdpua0FDReXD3zvPA0sdFobEl/
IyXJb03/7oPp9798GWaEELJs4pj4yrebEO7G8DVaUT0jQS3hCE3mrVUBR+BZn58PrtNTLsV1eQ2i
HuQfkCz+mvkvtwlXB4STRfx4++69jtBity2fm6qizkPKhRyjdCyIb+/f5Msn/U+h8DKkqPJoZ+MK
q5VxR+/YZJP8NtBafrbI/BsgFbBdrGrqA5IGkiK4qewy0nIuQxLd7gmJkFCmBIimno/IVEH7gqzn
X7Z+K04qownu2G/RDXAMV8TMU2baqioxsFGWe40CsvpZ9njzVaAZ14M9219ERlm3smrLJPQgjy8d
JE0JQZ2lz2EnB7om0ZdzaCvm56yOFchb3+6s2DMfTCjC64Xn9wHB4Ug5yZDoMgBuA+OCdNI+Lgks
g+QCN5yXZ7fXg5+kTrJ36qw4TMv0UFmi+OYYYtr0dgxG2CAcPbikNVSb95+Mp0f+zZMJNFmT9Gwb
VQTb+BHrwcqjErQtCZ7jHpyN0yc5X1OI2emmA1RUm8ElVSEoFTY4ZKqUgKN1eag55p1jVDeoVRHE
xuVixe7BWWbOmW0kvpckNXrrNjfO07kKzmZn3ldO6dwCGRSXtcFDW/ngyPN6URMoZVZ30TqQAqN7
m1p1N7rpz9nP0gsnwLgCBYp3SONaXpaeKhT+LV3/OBdJf4dCMb82qpANwp+scefYauxXDnz327EQ
CUq2BhcqQnBJ2BlUDGIWZE0Gbsie+Nn1jPAsTWb3iwUIRKJEnnvTB9P+bRefR8zYuhTj6NWhqAXH
UtweBIXnHkQYC7nehYGZ4b1MnRkviKYyL6wRgtAH32i9Jb6+fCW1gS1o3+MEArvj7XKCn1DRlmyd
P9DwuCecMo2SmKvZOOVcn+3A7RQrPa6IzxLZ830aT+osTYV5bQzC2b0/tV6Ejm+nFqUmy+dL0rxv
HZMB27H0ujCuqh/xBB5HL6qOvteEsA2bppxxDTTtnANBWSMVwzQlmTdZ4nuHBDrshmOFEDikGTgN
t7UffE0VyZUgJSBOldEl57mfdgdybqcLv0/QoHhB7K4Q3tjjqkPnlQAIEJGzanHHX4e4wsi9wbDs
slwZ58K3Bn5hDMh80urFGTkUQbD43uzikd17XVtpflbSFaGidFDcr4qmqOjAjhktD3oE994AxkEt
0n1W5P5+SsrCafH4obvMTARdXfsckq8ckVZ0KCCgTDQAgGEVcb7xGn8SeT5K0aFVSKUPrza0a+uT
lnm1exOzky8kcqZfe8Jgfropsmq0Cln00Tnx7/UncDknwLiGX4KA+3hJdmwaByQB5z+w0TYRy4wi
e6QpOgOy88ggSgXPS9dHn/zKeJyHbMQbyR9k+f8xYbGIoGx2YK7icX40YSEWdGWH4u9HVPpzv3l5
IP7SJ8VZWvgK+ewgbhsM73eo26KtFNH0LQnbQTJP0Cm9P2OPzrMvb0/oaiiGpQNq0jFjdyn7cajx
s/oRB6b/ufGt7gbzUmMTgIOcsi/2F33RqBOJKcGnYnKsc1UFbGRBoaarFFNSCMnVOJylRu/8hDnf
eKsQT7HPH1zl2zOAvkofepjHKw5nmkPl0ZBh8DqXonH7H4BETXxHZeF1aw7e86rHG+7C9occCLZb
/HATtl79M8GvB6laZMtxTwpbd++JIj4zgzG/s1u3B1BkF9i1WVsw3HEWrN2G7sjrg/6PzuJ2lkSf
PjyXJKojgGnTJ/WnagLuGVvuv9ZZ/P47/1X//C/yZvryMX2junj9+79UFwHhApBXBMd634HvZIMz
/EoXCIJ/cLEIBZw+XiZeZzaj3/Gp4T9Y0sBDx48eBCogI/W37MIJcbOh9uQP4Vra9r8Xn6rTW/8o
JuC6wxPVsS0w7WAxAge83X1mHKlYxyfzAJljXcY/C2qDaY4+ZSGG2yPHptQ8QQq8FVH/1cox8HO6
D+oZ8fbleL0E7AIsB4TPtcWLo8AfSEvtcaAIw9g81CQ3X0Tu11lI7JrzbVXiHmVTXyJE2wgZV5A5
o3MpY+KLbbfajvY3d6A1nWwoG+NzczFWaR3ulKCrH1gXTaLdh71Bs642xoBc0ZRP6Pz5JTTvFcVk
/j3r7K3+15kAdM4ld90CIF6i9zS2sycOWJwRh4o78RnKzWpGPKrqfmW0neNszLxfz051P4fQZZgT
h8kP4WcRRmQ7p3E/BpCtF45CnB3DIiQyCPGXl9G+VU637fIzoguvSVXsiadFTWoIde2Lb5ZjbLs4
eFggdWzLjMRF31m7fkDjQaDLShAyFxsc3dZtn99MRnSbNWO7zbtyi//dd0TX5j4t+qu4C04zq3pc
Ytz0snzd+GOxB5kPV6NCke5U1VM5ueY+h323ms3xqXLjTYy67IyYLw8zK7mWfseXLbs0dy7jMotf
DzL/WVw+WFxo6mgE6F+vLoeH8SFN/1yPfv2V3zIuz2UBYM3gaPYiyOKN/h1X4ps6q5ktGSQRwxqt
sfq1oNj2PxxcqDOhXroufGkEKb90XBZrDUAKRR9YE1i3+PcyS96+zZxKsDZxBZRs0GXsR174n3+8
zeCpxZLRyf7cdVJiJb6U3QxdiOvUEnpcMF1suZO0aJ9kkNu3SZIbN7YgP6xykdWvizQkSLibiNA0
Abc2pKqvlTDk1psG4qRMk8/xDcI4V/g/p1dZi6hoZUisXOtkync9Z7ethMR6ZhsgAeT2kh5Pj3Bf
23N+s2TOckDoiPWzZfQ/qsVY4F25o3tpTIS/T1WRFtiIqvEBGtf8AGFtTjfkRwbWmmhz7A/avF12
QWFiHTcb8rG3k+wBQHq+MnIsavANnr/N7dKuWazyYO3Mi/oxtLG1siXWxDHQ9nWc+NfY9aU4dxed
fdc7iEw/WFBfAIj/qeJfHgEGaAFPlTCXkB7X2zW9BI3NjKjzPy+tIz7Bq/C2mKK22JGQjJRzlG8U
i5NdiivqWvusQmOXrqQf1h4RviQALglVM5hL/Uks/XC+RF5yYWP3+EyRbXyBk9HdJLqsJ1wqO+89
hXt3mKjiviiicB8nrdz1nVNfhmF7h+W0dyD27CyIR/vWTux9kAiC9Pzm8Y+X5Or17v6Uo4kjWJsN
FlIxTwL7LXy/aNy8vWkJ9hpHpuSYWJfRN0s//Rge+VdI04jlA7OFH+W0n9BEqK1LmK29KqFM7Don
W87hsJqPMrcYBuGN02VMN+xkrB3vczTzbw312g/IKtZpbNjjZdL7MIbiBp+2MLoHZ7T3Ik2Le9qH
w9rHsfKQsnOigWsNZMeOv5nrVm0Xs2ROOyQsnpqL81z5/dlIstkBkaF3mMOWotSN0CFOpMlN3mhv
TcTRJMd9K6SglefW41OakHNbKGd8knA88YrBM6BVmMpERFms5dDv0FhMN7yU+UUwYOVeYGd+yB1E
ymnWcoBvfewhsgUumxuXhLuGU79JU3o8dZCJvbm0oDIphh9BheEuXU8fzLJKs/MycZozqAr2l1lV
8kdYNCWiwrHFM4pM2Ab8I7BoCnbdQUwyPaW7a55H2t83rKzhHF9Kbs52esxymmTJDviRZWK9uLF9
g3pguuyUxYBCEtuBVC8HGIa8m0a+kHs0dl/cpGseBRDQmUu3fW3G0/RB98V7u2aBH4eA87oZopOb
QPWct3PHxt8qQm5u3CTKRAIvgIcN+mT3HDMhzQY9Cnyh505bL0+jHWK/wa4+r91xTp4zzBgupG9H
J8TCNl+CxpUbDKjNfRPKrwQM5Jum98u7suFT8gHD3FU2ONW+4Nmf1RESVVPFy7bz4mmL27t9M5lt
7q5AhQUx88Z8TkIBVC2odjtYNLZeUOv8pPWksraeMuxtavYNnzkN00Wb18v1y7SVWUMbPfXn87bx
rDNL/j/uzmy5UWQJw6/SLyCCVcDNXEjy2runl+krBbbVAolFArTx9OcrCrUFXrrPlCMOcWrmomfs
LkEqKyuXP//MplBkevo/3iApSK0ZxXem5qw/REUEXyUDbgnaLWYg36b68mKdMTdxDKx7Q//SZjO8
sA/V0j1beqH30dPBQZ+9fHQ7naRC/IzL8ojhhoK5j2JrW/y7tVEM5lU+vTHz1ZBpegbAwUO+Hvy9
qHzewFiYwGLXxeDL4hCRBnD2KzGHMU/D/YVHFv4AIm6PZMx4Pb32YOgPltthfmBI5W41p3Myn/7I
bahHR2RajKt1tBn8Jm3y1Avg1PFYQ1BRNMJ19CeFty03wrkLm1NVnpFO2H9Yr+bz8zUA7RwaHOzM
lGrKJ0JYTEwaOoMz6GtWAQyrzltjN5z+5OxZGOZDFlh713g3BER1DT4OtoJ17E2/wEVPhjdM53hw
Lwu/049RC5/mbpdqKrGpCAI6wk/yKK/snXOTbRyH+SownfxEm6feJbCFmLbMqHq/2Bf7j7G7TS9K
JjlEIBVSZr6uou11lnjReOeb+VXs7PKrzF0PvoBt8i/8nV0CA1tv0o+VV1AONnn/XQIwclQWu+In
mBEGNfiRfVtMd5srvao8qGzW8IJt7N0yvXC3cCcwwbEa7c0cM7TZTL+bNBNfDryBd01nnAlc0x2e
x4U1P1/BlvAjH6aMeN9tp1fRIczPqtRNvXFpmvsZFRHslZnYg+24WJnGWWWt6HLJlgARIe0HzLAe
WXBhXMX2dvojdTnq+ASwIIujN/UH8/ucUcLbM3AePB7U4tfVPjdvaKwh/ZEsrC0jtNdQQTCP+Xyh
h9MfaN52ZseJsCBCNAt3er2J0uq9TYzCbB04pm5WUa6PDmTZwQOZFVHDehj94yaLOytLmAswD/fM
FzWLcZ6bDOGwY/MdHSAFg1Ti/QfyVdwlLysCTiLf9IPbgCbQVIbPwARPp3YHO24DthqMEnXJG7oo
S3d80Dlgo9o20+G+voDQhUQsxPzRKGRcyDmu2CoYmmX1uTKwSWfzpLgKSfRPoPyPr9dRXOygwdIj
OKwHiygZzefpebleiuPK7MbbA5nNr6J57Nbc2dvZJnLtwYR+6cSdFKEHSTop3/j9lsaKM5J0B/TA
hrluFFvxND6PDeaLjHyyP5fefLCfHKqVe7W3k697ZhNbPGVxiMcDKMD89XDwmRLOYTcpNvrmHig1
JpJR1OQo19nl3qiKC1sQgLhxJFxO8b2udlH5vdgvL50BNEqTPeRzDJM4fDdWq3RiMT1+xPOE4LQW
HAhoolHWhVnYYwAl7h0JXgjuwQpfZ8ZCv6x8wIXQiVXri2oNkPe9CR+GP15tluE37oHoWzFYMPO2
opDukVtMFt8Lz/bBJ9HwPr+EcVjfjxMLazAqwFrdDyAevRlsd8LBgTL8Wmd+6cWABp9JXglGcivc
lGflPkx0XneJyYuB++u0BOX8eVrS6zI6hGY1FVyDtj1hYFb6ZQ6C+Gqq29w6lbGwbkParg7juTFc
Ld8OylK4P/7h87wEv35Wzdf6bQKTG/PZ14k3OWDZ9fEgrYx3c2e3vD6gCB55Wjj6AOeEDKAh6v/H
YOQKLKQ69DIAsUE6G4xvu8nxLS9LQaEMu1JV/WQkjAdmqhpAtJ8wD8gbTg0xObPandnbrU/rxJAG
H+aWu6NdzgynEbNtrAzq73xS+rATjZzVVJ9EVhX/dN3dDWRLEPJBYpJNRzuw4tA0LJMPrpuEn8zE
3Y25DHwkw2Dgz/VB+r+JbJsXmQRlcJaWUXn4vJnlh5tZQRGnOPIYi5/WI2a/ZP/ul17eqOEo+U2s
zCzIbqhcP1P9wC9tEYP/KTf3JPnIlpEoc0hxmbB2sjBqcZZSeqx/TG+kmNgJY+WQe4+g/EQ4z73+
y28m5fjy77z06KfkLbp8Jsle8esb+W/e3tRIHRLyChDQ6WsLSmwbf5dyJqTMYv2P3v4u26Sl0D6m
JLQovE3R3d/Kkjzz1Xd2OPnqfc0BEgDODT5XsZDmqQx8xrgCt6POR6JVLPmBfdIA2Gj/TAidXPaJ
EGytBiqAF5Av2VEEwzA0NATqBhq7xeJ89OsY0K4kn0nhGIiBvTiDDNaQQkDbTzXBdTT4h0BVMjKo
XlLqvdIER1kIpA0xhSQFGyEQBJ8KASp8YB7w1pIJrFfvhECEJVJdf2IUXjoP9MiDgLWluneNAlBP
jfKc5dNj27eTgFsuzbTCSXA107GHVJtIDYrFS54qAehgDRpMUVyGjVysvgmBQpGAAyopgW1rWH2f
epcYSSBWWwqez9RvUuVQ7Esp9c43gHqL46smBENzBGwOcKp8yY4qwAnnWoKhQVQs+3UliO4jZXOI
30eyzwU/KlWgczG6vkYgTMs7Iw3qJT3RPt0JJCxVzaHpacT6DqR7UgiPTgKXggc/ClQzPT0JXAoG
X53aUdA1Er/UwAhW64VYT62ii72AT4ryTCOl/nmKRDeqVtEyNRCl8PeDT6lXxyB4FiSRONM2WJt6
9c4q0g/iqeqCCBhpjsFT7OjAUHOB7/i/ooXevb1BElc+1L/3D7gZwXTpoCcaVe84iYbBURCTZ4Bb
9fBWEHBNNUvgouM0hnjYA7naWsDJIFQQNaKjKeibFIDjCXSZmhSwh2gAsXETNHbOAv4RHzOEN/Ih
nuqXh8Djeap3owVdLt8yCIYHe3d6K5BDwTty6UpsUkv9OxEUpbpItmeyKM8GTDYKT1DIRKvGT+pY
BA83kcIBPsJDlqVvugCQW/VEmBq4GfB2IO+Pd9+pLvgWuSZdp4bc/Lx33iK8trryieC7hnwKV+gZ
b5HgEeCPmOYkpdQ7KeDomsqRg4dPDPuiL+ZEidXxk3yPO5TMIrlHKSapfD2KHIj4TFVdwFPQaYLi
H3yO06NA3EgZHyJhkij16p1ZpK1BNIgpXZGWq+ElmkBwmwR61yw6XA7AvklZSSXpnRRowzSVqyu+
RiMA4HazySF0Aqc6u+zSTiNQykLgPToEzE70VN1lS9fA12H3f8XP7bPgG+RcRW8/iO169S5wBPAx
VDWItqXBXUACHRS7XG0p0KevkVWm1Gb3zhTSQSfaaJRsge0wI0EUUU4M/qlFHPoatP3g+2lb7qkW
cGurngUcRc8ns9w4y4+uRbodgAbT7XDiSPbLIjCK0laWgqmRPqfiSDqpXp17gXkacChTeW1c0h4Z
RAYfKkeOZE8oN0MBTqakXhz406Pg6ZQXCBZodpTXopR3j6QAgbKvei3iG3miVQ8xPKkEnkNqXad3
XMSXYvXucjSp/yh7iEPMYt073piErp9sa1hfiyS2/KQ+KYH4dlRvBUuDFB7H4FhfQdVPjwKWwBGe
U43SF4ehf1KAU0FVCTAITPsggwLXTL3Y8FQKouqMl0zfSXMUeucni8G5sgqqkFZlljx1NpIoT6cP
IDLBbiJtRjL3zU/GeRXzoNQ8JHSdmrKIFJ7WAl/DPaSZ8XhWemcQ6bUSzfBKUhAxo+iv4kBIs9/1
Dbg8cZ8cMbC5Xv27HLHW8oD++7NAWhUOJDp0joXXjhQgXiOLROWVSQq1ssjwpEe3AwQgojVfTReI
mWC0A4vy4Aid2kUcJXrrqUPgjtSrdyeCwqt65GgSOdJ0IICI9erekY6GUwqv1BG91jsp0DKkjtEz
qCkJ3rejLnQdJU4MEiJyesg19Sxyom1bGisFuwAgA8JgkuxSFR6lVbGeALN0SKzliZCXUp/sAoRy
ytbRAZjL10zvrBRDx1+i6CQmwgmMlvx576yjKRDHitbRJkqGQoUulOar7twRwncWjZ4CuFqv3t2U
4o7goZXuCMJIODqxL0eN7wTT3Bw0devEWI3A+3QWHHhTVd+fYjwzHsgmNCe++/51XlEk85vgondn
gYSoQN6raQF3JBkCQTn2pEXAbya7auBQ0cBVr/oD/0gX/uCXfnWEjOnJv697QaJZ8VTLyHO/cOyF
ePzzpg9CTKoVcP/WL4rWEPnZsiNC/PdfrSp1XUw4+eGxuFB/TvPXmxd8/NGtzzq+1fF/XkazPMjv
QkivRX9M85gfgoSGEobs3gZJ0OJnqFsLHp7kEbXMr+//Nxs/Pb23foYnO2X+bN88gv6p/cB1X4Hy
A+dLJsgERUsUvsCpq+48DuLoZ5anbVodCX9W3juLszy4z45PKZRP9hmp7wzJ1l0Z3W3K1uY1VFd1
88kshhckn53uLDsjlHduGJB+w2akqIXnSD26b2uhxK+qPv/FLMvnbU2h4CTQkKo7P8/EoiiMq/sg
bClgA91TfeCrOI7SLGqfSIkHU946vY+CjhWRGCvlnbNdWy3gL+HOVN327WPbJLEfyhuzweZueTg+
Yj1nXSIKVLd+l20gXOiKWdapVfd+H0Rpy3o0lU/1ffNDHKT3p+JocLjqWxdFcBduillZtnS6KdQp
7x/dMW44aLcdyvKP+tbcBUVWtjS7Kaqo710UEf+uVlFL6BLg9Rq7Z5u8u7UoBChvnaVlR7mb5Lrq
zh9mt3nQ8Z6avLX61tugfW8RcokkqPrGuzeXQbIqwqh9rbO/KD69xv7Xs7yYtSxV0y7xGpu/n+2j
u9Y11jTovcbmP7J8eZRBHR/IbKPy1jAthW/GQZ5xU7YPp+wpep0PmATL7tmnuv4KLsnHMGpLXCJ8
VZ/64zLGI2lHNRCpi5ye8tb5bN7t7K4hR6obf5qlKSwe26ATJjAzWGBZVLe/CbP72Zur4tHdJtNb
qtv/nW2eUcSmuvA6H/BYEZvElOr2X5D+jOkALZcC9lCRAFXfe9+OKpsku+q+X8sgPD6dsCkNAlJ1
22+zPOFma+0sAbbKO0dENh31bgqRqlt/D7h3mBXcPpp0dIisnfLms6J88+2ph5cQI+X9o+IuY7Zh
y3NrGoOV9z5k0ALPj0Ko9URm8V7e+alM0y+86+P805Em5Km/1k6uid+4i2dB/td/AAAA//8=</cx:binary>
              </cx:geoCache>
            </cx:geography>
          </cx:layoutPr>
          <cx:valueColors>
            <cx:minColor>
              <a:srgbClr val="269999"/>
            </cx:minColor>
            <cx:midColor>
              <a:schemeClr val="bg1"/>
            </cx:midColor>
            <cx:maxColor>
              <a:schemeClr val="accent2"/>
            </cx:maxColor>
          </cx:valueColors>
          <cx:valueColorPositions count="3">
            <cx:midPosition>
              <cx:number val="0"/>
            </cx:midPosition>
          </cx:valueColorPositions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Spin" dx="68" fmlaLink="$A$1" max="10" min="1" page="10" val="8"/>
</file>

<file path=xl/ctrlProps/ctrlProp2.xml><?xml version="1.0" encoding="utf-8"?>
<formControlPr xmlns="http://schemas.microsoft.com/office/spreadsheetml/2009/9/main" objectType="Radio" checked="Checked" firstButton="1" fmlaLink="$A$2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0</xdr:row>
      <xdr:rowOff>171451</xdr:rowOff>
    </xdr:from>
    <xdr:to>
      <xdr:col>16</xdr:col>
      <xdr:colOff>247650</xdr:colOff>
      <xdr:row>4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3FAB47-B46B-CE7F-6CB7-F6B7052575CF}"/>
            </a:ext>
          </a:extLst>
        </xdr:cNvPr>
        <xdr:cNvSpPr txBox="1"/>
      </xdr:nvSpPr>
      <xdr:spPr>
        <a:xfrm>
          <a:off x="561975" y="171451"/>
          <a:ext cx="11972925" cy="647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800" b="1">
              <a:solidFill>
                <a:schemeClr val="tx1">
                  <a:lumMod val="75000"/>
                  <a:lumOff val="25000"/>
                </a:schemeClr>
              </a:solidFill>
            </a:rPr>
            <a:t>What Do </a:t>
          </a:r>
          <a:r>
            <a:rPr lang="en-US" sz="2800" b="1">
              <a:solidFill>
                <a:srgbClr val="269999"/>
              </a:solidFill>
            </a:rPr>
            <a:t>Wage</a:t>
          </a:r>
          <a:r>
            <a:rPr lang="en-US" sz="2800" b="1">
              <a:solidFill>
                <a:schemeClr val="tx1">
                  <a:lumMod val="75000"/>
                  <a:lumOff val="25000"/>
                </a:schemeClr>
              </a:solidFill>
            </a:rPr>
            <a:t> and </a:t>
          </a:r>
          <a:r>
            <a:rPr lang="en-US" sz="2800" b="1">
              <a:solidFill>
                <a:schemeClr val="accent2"/>
              </a:solidFill>
            </a:rPr>
            <a:t>Employment</a:t>
          </a:r>
          <a:r>
            <a:rPr lang="en-US" sz="2800" b="1" baseline="0">
              <a:solidFill>
                <a:schemeClr val="tx1">
                  <a:lumMod val="75000"/>
                  <a:lumOff val="25000"/>
                </a:schemeClr>
              </a:solidFill>
            </a:rPr>
            <a:t> Figures Look Like by Industry? </a:t>
          </a:r>
          <a:endParaRPr lang="en-US" sz="28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</xdr:col>
      <xdr:colOff>57150</xdr:colOff>
      <xdr:row>7</xdr:row>
      <xdr:rowOff>17463</xdr:rowOff>
    </xdr:from>
    <xdr:to>
      <xdr:col>1</xdr:col>
      <xdr:colOff>2667000</xdr:colOff>
      <xdr:row>9</xdr:row>
      <xdr:rowOff>7938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24404D-6AE6-209F-376F-FAA8C2E7E0C5}"/>
            </a:ext>
          </a:extLst>
        </xdr:cNvPr>
        <xdr:cNvSpPr txBox="1"/>
      </xdr:nvSpPr>
      <xdr:spPr>
        <a:xfrm>
          <a:off x="666750" y="1560513"/>
          <a:ext cx="2609850" cy="371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Average Annual </a:t>
          </a:r>
          <a:r>
            <a:rPr lang="en-US" sz="1600" b="1">
              <a:solidFill>
                <a:srgbClr val="269999"/>
              </a:solidFill>
            </a:rPr>
            <a:t>Wage</a:t>
          </a:r>
        </a:p>
      </xdr:txBody>
    </xdr:sp>
    <xdr:clientData/>
  </xdr:twoCellAnchor>
  <xdr:twoCellAnchor>
    <xdr:from>
      <xdr:col>3</xdr:col>
      <xdr:colOff>295275</xdr:colOff>
      <xdr:row>6</xdr:row>
      <xdr:rowOff>179388</xdr:rowOff>
    </xdr:from>
    <xdr:to>
      <xdr:col>7</xdr:col>
      <xdr:colOff>466725</xdr:colOff>
      <xdr:row>8</xdr:row>
      <xdr:rowOff>169863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00379AA-4CBC-9E49-4C4A-B143FAD203AD}"/>
            </a:ext>
          </a:extLst>
        </xdr:cNvPr>
        <xdr:cNvSpPr txBox="1"/>
      </xdr:nvSpPr>
      <xdr:spPr>
        <a:xfrm>
          <a:off x="4657725" y="1531938"/>
          <a:ext cx="2609850" cy="371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Share of Total </a:t>
          </a:r>
          <a:r>
            <a:rPr lang="en-US" sz="1600" b="1">
              <a:solidFill>
                <a:schemeClr val="accent2"/>
              </a:solidFill>
            </a:rPr>
            <a:t>Employees</a:t>
          </a:r>
        </a:p>
      </xdr:txBody>
    </xdr:sp>
    <xdr:clientData/>
  </xdr:twoCellAnchor>
  <xdr:twoCellAnchor>
    <xdr:from>
      <xdr:col>2</xdr:col>
      <xdr:colOff>466725</xdr:colOff>
      <xdr:row>9</xdr:row>
      <xdr:rowOff>133352</xdr:rowOff>
    </xdr:from>
    <xdr:to>
      <xdr:col>7</xdr:col>
      <xdr:colOff>457200</xdr:colOff>
      <xdr:row>19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D0CE618-9F0E-4D01-B5A4-D8747C889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361950</xdr:colOff>
      <xdr:row>10</xdr:row>
      <xdr:rowOff>152400</xdr:rowOff>
    </xdr:from>
    <xdr:to>
      <xdr:col>2</xdr:col>
      <xdr:colOff>190500</xdr:colOff>
      <xdr:row>35</xdr:row>
      <xdr:rowOff>47625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05C209C-EC09-43B0-A229-6D258590D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333375</xdr:colOff>
      <xdr:row>27</xdr:row>
      <xdr:rowOff>1587</xdr:rowOff>
    </xdr:from>
    <xdr:to>
      <xdr:col>9</xdr:col>
      <xdr:colOff>47625</xdr:colOff>
      <xdr:row>34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6BB59D9-07AB-4420-B3BF-93EB1889F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2</xdr:col>
      <xdr:colOff>285751</xdr:colOff>
      <xdr:row>20</xdr:row>
      <xdr:rowOff>171450</xdr:rowOff>
    </xdr:from>
    <xdr:to>
      <xdr:col>9</xdr:col>
      <xdr:colOff>17834</xdr:colOff>
      <xdr:row>27</xdr:row>
      <xdr:rowOff>161925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BD86555-9B49-470D-A011-42C0D9EE9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314325</xdr:colOff>
      <xdr:row>19</xdr:row>
      <xdr:rowOff>104775</xdr:rowOff>
    </xdr:from>
    <xdr:to>
      <xdr:col>7</xdr:col>
      <xdr:colOff>485775</xdr:colOff>
      <xdr:row>21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797D7C4-9831-C495-480C-D9FFC7DC8FC5}"/>
            </a:ext>
          </a:extLst>
        </xdr:cNvPr>
        <xdr:cNvSpPr txBox="1"/>
      </xdr:nvSpPr>
      <xdr:spPr>
        <a:xfrm>
          <a:off x="4676775" y="4010025"/>
          <a:ext cx="2609850" cy="390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accent1"/>
              </a:solidFill>
            </a:rPr>
            <a:t>Wage</a:t>
          </a:r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 &amp; </a:t>
          </a:r>
          <a:r>
            <a:rPr lang="en-US" sz="1600" b="1">
              <a:solidFill>
                <a:schemeClr val="accent2"/>
              </a:solidFill>
            </a:rPr>
            <a:t>Employee</a:t>
          </a:r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 Trends</a:t>
          </a:r>
        </a:p>
      </xdr:txBody>
    </xdr:sp>
    <xdr:clientData/>
  </xdr:twoCellAnchor>
  <xdr:twoCellAnchor>
    <xdr:from>
      <xdr:col>9</xdr:col>
      <xdr:colOff>190499</xdr:colOff>
      <xdr:row>8</xdr:row>
      <xdr:rowOff>85725</xdr:rowOff>
    </xdr:from>
    <xdr:to>
      <xdr:col>17</xdr:col>
      <xdr:colOff>571500</xdr:colOff>
      <xdr:row>33</xdr:row>
      <xdr:rowOff>152400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2D9B38BB-B002-44CF-956D-D3D9341118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10549" y="1819275"/>
              <a:ext cx="6753226" cy="4829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114300</xdr:colOff>
      <xdr:row>11</xdr:row>
      <xdr:rowOff>123825</xdr:rowOff>
    </xdr:from>
    <xdr:to>
      <xdr:col>8</xdr:col>
      <xdr:colOff>514350</xdr:colOff>
      <xdr:row>18</xdr:row>
      <xdr:rowOff>57150</xdr:rowOff>
    </xdr:to>
    <xdr:sp macro="" textlink="'Data Prep'!I19">
      <xdr:nvSpPr>
        <xdr:cNvPr id="19" name="TextBox 18">
          <a:extLst>
            <a:ext uri="{FF2B5EF4-FFF2-40B4-BE49-F238E27FC236}">
              <a16:creationId xmlns:a16="http://schemas.microsoft.com/office/drawing/2014/main" id="{75875287-77FB-8029-8A68-C89E7BF1DF4F}"/>
            </a:ext>
          </a:extLst>
        </xdr:cNvPr>
        <xdr:cNvSpPr txBox="1"/>
      </xdr:nvSpPr>
      <xdr:spPr>
        <a:xfrm>
          <a:off x="6305550" y="2505075"/>
          <a:ext cx="1619250" cy="1266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5B043CA-4C79-4632-9477-3516A8822D58}" type="TxLink">
            <a:rPr lang="en-US" sz="60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ctr"/>
            <a:t>17%</a:t>
          </a:fld>
          <a:endParaRPr lang="en-US" sz="6000" b="1">
            <a:solidFill>
              <a:schemeClr val="accent2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47625</xdr:colOff>
          <xdr:row>5</xdr:row>
          <xdr:rowOff>19050</xdr:rowOff>
        </xdr:from>
        <xdr:to>
          <xdr:col>3</xdr:col>
          <xdr:colOff>57150</xdr:colOff>
          <xdr:row>6</xdr:row>
          <xdr:rowOff>19050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466725</xdr:colOff>
          <xdr:row>6</xdr:row>
          <xdr:rowOff>114300</xdr:rowOff>
        </xdr:from>
        <xdr:to>
          <xdr:col>13</xdr:col>
          <xdr:colOff>1609725</xdr:colOff>
          <xdr:row>9</xdr:row>
          <xdr:rowOff>38100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54864" tIns="68580" rIns="0" bIns="6858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Average Wage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1695450</xdr:colOff>
          <xdr:row>6</xdr:row>
          <xdr:rowOff>161925</xdr:rowOff>
        </xdr:from>
        <xdr:to>
          <xdr:col>15</xdr:col>
          <xdr:colOff>228600</xdr:colOff>
          <xdr:row>8</xdr:row>
          <xdr:rowOff>190500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54864" tIns="68580" rIns="0" bIns="6858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Employees per 1,000</a:t>
              </a:r>
            </a:p>
          </xdr:txBody>
        </xdr:sp>
        <xdr:clientData/>
      </xdr:twoCellAnchor>
    </mc:Choice>
    <mc:Fallback/>
  </mc:AlternateContent>
  <xdr:twoCellAnchor>
    <xdr:from>
      <xdr:col>12</xdr:col>
      <xdr:colOff>57150</xdr:colOff>
      <xdr:row>6</xdr:row>
      <xdr:rowOff>179388</xdr:rowOff>
    </xdr:from>
    <xdr:to>
      <xdr:col>13</xdr:col>
      <xdr:colOff>1000125</xdr:colOff>
      <xdr:row>8</xdr:row>
      <xdr:rowOff>169863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7712393-7CD2-23E3-4C0E-F301A529376A}"/>
            </a:ext>
          </a:extLst>
        </xdr:cNvPr>
        <xdr:cNvSpPr txBox="1"/>
      </xdr:nvSpPr>
      <xdr:spPr>
        <a:xfrm>
          <a:off x="9629775" y="1531938"/>
          <a:ext cx="1552575" cy="371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Average </a:t>
          </a:r>
          <a:r>
            <a:rPr lang="en-US" sz="1600" b="1">
              <a:solidFill>
                <a:schemeClr val="accent1"/>
              </a:solidFill>
            </a:rPr>
            <a:t>Wages</a:t>
          </a:r>
        </a:p>
      </xdr:txBody>
    </xdr:sp>
    <xdr:clientData/>
  </xdr:twoCellAnchor>
  <xdr:twoCellAnchor>
    <xdr:from>
      <xdr:col>13</xdr:col>
      <xdr:colOff>1895475</xdr:colOff>
      <xdr:row>6</xdr:row>
      <xdr:rowOff>179388</xdr:rowOff>
    </xdr:from>
    <xdr:to>
      <xdr:col>17</xdr:col>
      <xdr:colOff>295275</xdr:colOff>
      <xdr:row>8</xdr:row>
      <xdr:rowOff>169863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07FE1E5-CCC0-9900-A117-BB40E3EA3853}"/>
            </a:ext>
          </a:extLst>
        </xdr:cNvPr>
        <xdr:cNvSpPr txBox="1"/>
      </xdr:nvSpPr>
      <xdr:spPr>
        <a:xfrm>
          <a:off x="12077700" y="1531938"/>
          <a:ext cx="2609850" cy="371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>
              <a:solidFill>
                <a:schemeClr val="accent2"/>
              </a:solidFill>
            </a:rPr>
            <a:t>Employees</a:t>
          </a:r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 per 1,000</a:t>
          </a:r>
        </a:p>
      </xdr:txBody>
    </xdr:sp>
    <xdr:clientData/>
  </xdr:twoCellAnchor>
  <xdr:twoCellAnchor editAs="oneCell">
    <xdr:from>
      <xdr:col>15</xdr:col>
      <xdr:colOff>361950</xdr:colOff>
      <xdr:row>1</xdr:row>
      <xdr:rowOff>38100</xdr:rowOff>
    </xdr:from>
    <xdr:to>
      <xdr:col>17</xdr:col>
      <xdr:colOff>295275</xdr:colOff>
      <xdr:row>6</xdr:row>
      <xdr:rowOff>28575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4505BD9-3AB2-C491-2E9B-E3D0EE755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5025" y="228600"/>
          <a:ext cx="1152525" cy="11525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fb>5157699</fb>
    <v>0</v>
  </rv>
  <rv s="0">
    <fb>7582384</fb>
    <v>0</v>
  </rv>
  <rv s="0">
    <fb>3088354</fb>
    <v>0</v>
  </rv>
  <rv s="0">
    <fb>39431263</fb>
    <v>0</v>
  </rv>
  <rv s="0">
    <fb>5957493</fb>
    <v>0</v>
  </rv>
  <rv s="0">
    <fb>3675069</fb>
    <v>0</v>
  </rv>
  <rv s="0">
    <fb>1051917</fb>
    <v>0</v>
  </rv>
  <rv s="0">
    <fb>23372215</fb>
    <v>0</v>
  </rv>
  <rv s="0">
    <fb>11180878</fb>
    <v>0</v>
  </rv>
  <rv s="0">
    <fb>2001619</fb>
    <v>0</v>
  </rv>
  <rv s="0">
    <fb>12710158</fb>
    <v>0</v>
  </rv>
  <rv s="0">
    <fb>6924275</fb>
    <v>0</v>
  </rv>
  <rv s="0">
    <fb>3241488</fb>
    <v>0</v>
  </rv>
  <rv s="0">
    <fb>2970606</fb>
    <v>0</v>
  </rv>
  <rv s="0">
    <fb>4588372</fb>
    <v>0</v>
  </rv>
  <rv s="0">
    <fb>4597740</fb>
    <v>0</v>
  </rv>
  <rv s="0">
    <fb>1405012</fb>
    <v>0</v>
  </rv>
  <rv s="0">
    <fb>6263220</fb>
    <v>0</v>
  </rv>
  <rv s="0">
    <fb>7136171</fb>
    <v>0</v>
  </rv>
  <rv s="0">
    <fb>10140459</fb>
    <v>0</v>
  </rv>
  <rv s="0">
    <fb>5793151</fb>
    <v>0</v>
  </rv>
  <rv s="0">
    <fb>2943045</fb>
    <v>0</v>
  </rv>
  <rv s="0">
    <fb>6245466</fb>
    <v>0</v>
  </rv>
  <rv s="0">
    <fb>1137233</fb>
    <v>0</v>
  </rv>
  <rv s="0">
    <fb>2005465</fb>
    <v>0</v>
  </rv>
  <rv s="0">
    <fb>3267467</fb>
    <v>0</v>
  </rv>
  <rv s="0">
    <fb>1409032</fb>
    <v>0</v>
  </rv>
  <rv s="0">
    <fb>9288994</fb>
    <v>0</v>
  </rv>
  <rv s="0">
    <fb>2130256</fb>
    <v>0</v>
  </rv>
  <rv s="0">
    <fb>20201249</fb>
    <v>0</v>
  </rv>
  <rv s="0">
    <fb>11046024</fb>
    <v>0</v>
  </rv>
  <rv s="0">
    <fb>796568</fb>
    <v>0</v>
  </rv>
  <rv s="0">
    <fb>11883304</fb>
    <v>0</v>
  </rv>
  <rv s="0">
    <fb>3959353</fb>
    <v>0</v>
  </rv>
  <rv s="0">
    <fb>4272371</fb>
    <v>0</v>
  </rv>
  <rv s="0">
    <fb>13078751</fb>
    <v>0</v>
  </rv>
  <rv s="0">
    <fb>1112308</fb>
    <v>0</v>
  </rv>
  <rv s="0">
    <fb>5478831</fb>
    <v>0</v>
  </rv>
  <rv s="0">
    <fb>924669</fb>
    <v>0</v>
  </rv>
  <rv s="0">
    <fb>7227750</fb>
    <v>0</v>
  </rv>
  <rv s="0">
    <fb>31290831</fb>
    <v>0</v>
  </rv>
  <rv s="0">
    <fb>3503613</fb>
    <v>0</v>
  </rv>
  <rv s="0">
    <fb>648493</fb>
    <v>0</v>
  </rv>
  <rv s="0">
    <fb>8811195</fb>
    <v>0</v>
  </rv>
  <rv s="0">
    <fb>7958180</fb>
    <v>0</v>
  </rv>
  <rv s="0">
    <fb>1769979</fb>
    <v>0</v>
  </rv>
  <rv s="0">
    <fb>5960975</fb>
    <v>0</v>
  </rv>
  <rv s="0">
    <fb>587618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3" formatCode="#,##0"/>
    </x:dxf>
  </dxfs>
  <richProperties>
    <rPr n="NumberFormat" t="s"/>
  </richProperties>
  <richStyles>
    <rSty dxfid="0">
      <rpv i="0">#,##0</rpv>
    </rSty>
  </richStyles>
</richStyleSheet>
</file>

<file path=xl/theme/theme1.xml><?xml version="1.0" encoding="utf-8"?>
<a:theme xmlns:a="http://schemas.openxmlformats.org/drawingml/2006/main" name="Office Theme">
  <a:themeElements>
    <a:clrScheme name="Maven Career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69999"/>
      </a:accent1>
      <a:accent2>
        <a:srgbClr val="FF5050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2F2C-F2D3-4F44-815D-AF8D50250408}">
  <dimension ref="A1:F1919"/>
  <sheetViews>
    <sheetView workbookViewId="0">
      <selection activeCell="C2" sqref="C2:C1919"/>
    </sheetView>
  </sheetViews>
  <sheetFormatPr defaultRowHeight="14.75" x14ac:dyDescent="0.75"/>
  <cols>
    <col min="1" max="1" width="9.08984375" customWidth="1"/>
    <col min="2" max="2" width="21.6796875" customWidth="1"/>
    <col min="3" max="3" width="18.6796875" customWidth="1"/>
    <col min="4" max="4" width="14.54296875" customWidth="1"/>
    <col min="5" max="5" width="10.6796875" customWidth="1"/>
    <col min="6" max="6" width="16.6796875" customWidth="1"/>
    <col min="7" max="18" width="9.08984375" customWidth="1"/>
  </cols>
  <sheetData>
    <row r="1" spans="1:6" x14ac:dyDescent="0.75">
      <c r="A1" s="3" t="s">
        <v>50</v>
      </c>
      <c r="B1" s="3" t="s">
        <v>49</v>
      </c>
      <c r="C1" s="3" t="s">
        <v>0</v>
      </c>
      <c r="D1" s="3" t="s">
        <v>61</v>
      </c>
      <c r="E1" s="3" t="s">
        <v>62</v>
      </c>
      <c r="F1" s="3" t="s">
        <v>63</v>
      </c>
    </row>
    <row r="2" spans="1:6" x14ac:dyDescent="0.75">
      <c r="A2">
        <v>2025</v>
      </c>
      <c r="B2" t="s">
        <v>55</v>
      </c>
      <c r="C2" t="s">
        <v>1</v>
      </c>
      <c r="D2" s="1">
        <v>1829</v>
      </c>
      <c r="E2" s="1">
        <v>18051</v>
      </c>
      <c r="F2" s="2">
        <v>58872</v>
      </c>
    </row>
    <row r="3" spans="1:6" x14ac:dyDescent="0.75">
      <c r="A3">
        <v>2025</v>
      </c>
      <c r="B3" t="s">
        <v>55</v>
      </c>
      <c r="C3" t="s">
        <v>2</v>
      </c>
      <c r="D3" s="1">
        <v>1354</v>
      </c>
      <c r="E3" s="1">
        <v>35607</v>
      </c>
      <c r="F3" s="2">
        <v>55216</v>
      </c>
    </row>
    <row r="4" spans="1:6" x14ac:dyDescent="0.75">
      <c r="A4">
        <v>2025</v>
      </c>
      <c r="B4" t="s">
        <v>55</v>
      </c>
      <c r="C4" t="s">
        <v>3</v>
      </c>
      <c r="D4" s="1">
        <v>2565</v>
      </c>
      <c r="E4" s="1">
        <v>15961</v>
      </c>
      <c r="F4" s="2">
        <v>49909</v>
      </c>
    </row>
    <row r="5" spans="1:6" x14ac:dyDescent="0.75">
      <c r="A5">
        <v>2025</v>
      </c>
      <c r="B5" t="s">
        <v>55</v>
      </c>
      <c r="C5" t="s">
        <v>4</v>
      </c>
      <c r="D5" s="1">
        <v>17651</v>
      </c>
      <c r="E5" s="1">
        <v>425665</v>
      </c>
      <c r="F5" s="2">
        <v>42534</v>
      </c>
    </row>
    <row r="6" spans="1:6" x14ac:dyDescent="0.75">
      <c r="A6">
        <v>2025</v>
      </c>
      <c r="B6" t="s">
        <v>55</v>
      </c>
      <c r="C6" t="s">
        <v>5</v>
      </c>
      <c r="D6" s="1">
        <v>3312</v>
      </c>
      <c r="E6" s="1">
        <v>41633</v>
      </c>
      <c r="F6" s="2">
        <v>91879</v>
      </c>
    </row>
    <row r="7" spans="1:6" x14ac:dyDescent="0.75">
      <c r="A7">
        <v>2025</v>
      </c>
      <c r="B7" t="s">
        <v>55</v>
      </c>
      <c r="C7" t="s">
        <v>6</v>
      </c>
      <c r="D7">
        <v>467</v>
      </c>
      <c r="E7" s="1">
        <v>5260</v>
      </c>
      <c r="F7" s="2">
        <v>43142</v>
      </c>
    </row>
    <row r="8" spans="1:6" x14ac:dyDescent="0.75">
      <c r="A8">
        <v>2025</v>
      </c>
      <c r="B8" t="s">
        <v>55</v>
      </c>
      <c r="C8" t="s">
        <v>7</v>
      </c>
      <c r="D8">
        <v>186</v>
      </c>
      <c r="E8" s="1">
        <v>1317</v>
      </c>
      <c r="F8" s="2">
        <v>43290</v>
      </c>
    </row>
    <row r="9" spans="1:6" x14ac:dyDescent="0.75">
      <c r="A9">
        <v>2025</v>
      </c>
      <c r="B9" t="s">
        <v>55</v>
      </c>
      <c r="C9" t="s">
        <v>8</v>
      </c>
      <c r="D9" s="1">
        <v>5394</v>
      </c>
      <c r="E9" s="1">
        <v>71107</v>
      </c>
      <c r="F9" s="2">
        <v>37717</v>
      </c>
    </row>
    <row r="10" spans="1:6" x14ac:dyDescent="0.75">
      <c r="A10">
        <v>2025</v>
      </c>
      <c r="B10" t="s">
        <v>55</v>
      </c>
      <c r="C10" t="s">
        <v>9</v>
      </c>
      <c r="D10" s="1">
        <v>2794</v>
      </c>
      <c r="E10" s="1">
        <v>29309</v>
      </c>
      <c r="F10" s="2">
        <v>45978</v>
      </c>
    </row>
    <row r="11" spans="1:6" x14ac:dyDescent="0.75">
      <c r="A11">
        <v>2025</v>
      </c>
      <c r="B11" t="s">
        <v>55</v>
      </c>
      <c r="C11" t="s">
        <v>10</v>
      </c>
      <c r="D11" s="1">
        <v>2531</v>
      </c>
      <c r="E11" s="1">
        <v>27020</v>
      </c>
      <c r="F11" s="2">
        <v>42820</v>
      </c>
    </row>
    <row r="12" spans="1:6" x14ac:dyDescent="0.75">
      <c r="A12">
        <v>2025</v>
      </c>
      <c r="B12" t="s">
        <v>55</v>
      </c>
      <c r="C12" t="s">
        <v>11</v>
      </c>
      <c r="D12" s="1">
        <v>2818</v>
      </c>
      <c r="E12" s="1">
        <v>24933</v>
      </c>
      <c r="F12" s="2">
        <v>52259</v>
      </c>
    </row>
    <row r="13" spans="1:6" x14ac:dyDescent="0.75">
      <c r="A13">
        <v>2025</v>
      </c>
      <c r="B13" t="s">
        <v>55</v>
      </c>
      <c r="C13" t="s">
        <v>12</v>
      </c>
      <c r="D13" s="1">
        <v>2302</v>
      </c>
      <c r="E13" s="1">
        <v>20872</v>
      </c>
      <c r="F13" s="2">
        <v>50732</v>
      </c>
    </row>
    <row r="14" spans="1:6" x14ac:dyDescent="0.75">
      <c r="A14">
        <v>2025</v>
      </c>
      <c r="B14" t="s">
        <v>55</v>
      </c>
      <c r="C14" t="s">
        <v>13</v>
      </c>
      <c r="D14" s="1">
        <v>2911</v>
      </c>
      <c r="E14" s="1">
        <v>22868</v>
      </c>
      <c r="F14" s="2">
        <v>45588</v>
      </c>
    </row>
    <row r="15" spans="1:6" x14ac:dyDescent="0.75">
      <c r="A15">
        <v>2025</v>
      </c>
      <c r="B15" t="s">
        <v>55</v>
      </c>
      <c r="C15" t="s">
        <v>14</v>
      </c>
      <c r="D15" s="1">
        <v>2613</v>
      </c>
      <c r="E15" s="1">
        <v>18607</v>
      </c>
      <c r="F15" s="2">
        <v>47721</v>
      </c>
    </row>
    <row r="16" spans="1:6" x14ac:dyDescent="0.75">
      <c r="A16">
        <v>2025</v>
      </c>
      <c r="B16" t="s">
        <v>55</v>
      </c>
      <c r="C16" t="s">
        <v>15</v>
      </c>
      <c r="D16" s="1">
        <v>1632</v>
      </c>
      <c r="E16" s="1">
        <v>16061</v>
      </c>
      <c r="F16" s="2">
        <v>54605</v>
      </c>
    </row>
    <row r="17" spans="1:6" x14ac:dyDescent="0.75">
      <c r="A17">
        <v>2025</v>
      </c>
      <c r="B17" t="s">
        <v>55</v>
      </c>
      <c r="C17" t="s">
        <v>16</v>
      </c>
      <c r="D17" s="1">
        <v>3143</v>
      </c>
      <c r="E17" s="1">
        <v>37751</v>
      </c>
      <c r="F17" s="2">
        <v>86727</v>
      </c>
    </row>
    <row r="18" spans="1:6" x14ac:dyDescent="0.75">
      <c r="A18">
        <v>2025</v>
      </c>
      <c r="B18" t="s">
        <v>55</v>
      </c>
      <c r="C18" t="s">
        <v>17</v>
      </c>
      <c r="D18" s="1">
        <v>1581</v>
      </c>
      <c r="E18" s="1">
        <v>7787</v>
      </c>
      <c r="F18" s="2">
        <v>41422</v>
      </c>
    </row>
    <row r="19" spans="1:6" x14ac:dyDescent="0.75">
      <c r="A19">
        <v>2025</v>
      </c>
      <c r="B19" t="s">
        <v>55</v>
      </c>
      <c r="C19" t="s">
        <v>18</v>
      </c>
      <c r="D19">
        <v>720</v>
      </c>
      <c r="E19" s="1">
        <v>7112</v>
      </c>
      <c r="F19" s="2">
        <v>46887</v>
      </c>
    </row>
    <row r="20" spans="1:6" x14ac:dyDescent="0.75">
      <c r="A20">
        <v>2025</v>
      </c>
      <c r="B20" t="s">
        <v>55</v>
      </c>
      <c r="C20" t="s">
        <v>19</v>
      </c>
      <c r="D20">
        <v>999</v>
      </c>
      <c r="E20" s="1">
        <v>11134</v>
      </c>
      <c r="F20" s="2">
        <v>64628</v>
      </c>
    </row>
    <row r="21" spans="1:6" x14ac:dyDescent="0.75">
      <c r="A21">
        <v>2025</v>
      </c>
      <c r="B21" t="s">
        <v>55</v>
      </c>
      <c r="C21" t="s">
        <v>20</v>
      </c>
      <c r="D21" s="1">
        <v>3574</v>
      </c>
      <c r="E21" s="1">
        <v>34897</v>
      </c>
      <c r="F21" s="2">
        <v>43309</v>
      </c>
    </row>
    <row r="22" spans="1:6" x14ac:dyDescent="0.75">
      <c r="A22">
        <v>2025</v>
      </c>
      <c r="B22" t="s">
        <v>55</v>
      </c>
      <c r="C22" t="s">
        <v>21</v>
      </c>
      <c r="D22" s="1">
        <v>3175</v>
      </c>
      <c r="E22" s="1">
        <v>28204</v>
      </c>
      <c r="F22" s="2">
        <v>51276</v>
      </c>
    </row>
    <row r="23" spans="1:6" x14ac:dyDescent="0.75">
      <c r="A23">
        <v>2025</v>
      </c>
      <c r="B23" t="s">
        <v>55</v>
      </c>
      <c r="C23" t="s">
        <v>22</v>
      </c>
      <c r="D23" s="1">
        <v>2070</v>
      </c>
      <c r="E23" s="1">
        <v>14561</v>
      </c>
      <c r="F23" s="2">
        <v>50525</v>
      </c>
    </row>
    <row r="24" spans="1:6" x14ac:dyDescent="0.75">
      <c r="A24">
        <v>2025</v>
      </c>
      <c r="B24" t="s">
        <v>55</v>
      </c>
      <c r="C24" t="s">
        <v>23</v>
      </c>
      <c r="D24" s="1">
        <v>2123</v>
      </c>
      <c r="E24" s="1">
        <v>16963</v>
      </c>
      <c r="F24" s="2">
        <v>46677</v>
      </c>
    </row>
    <row r="25" spans="1:6" x14ac:dyDescent="0.75">
      <c r="A25">
        <v>2025</v>
      </c>
      <c r="B25" t="s">
        <v>55</v>
      </c>
      <c r="C25" t="s">
        <v>24</v>
      </c>
      <c r="D25" s="1">
        <v>1847</v>
      </c>
      <c r="E25" s="1">
        <v>12449</v>
      </c>
      <c r="F25" s="2">
        <v>65945</v>
      </c>
    </row>
    <row r="26" spans="1:6" x14ac:dyDescent="0.75">
      <c r="A26">
        <v>2025</v>
      </c>
      <c r="B26" t="s">
        <v>55</v>
      </c>
      <c r="C26" t="s">
        <v>25</v>
      </c>
      <c r="D26" s="1">
        <v>2469</v>
      </c>
      <c r="E26" s="1">
        <v>16054</v>
      </c>
      <c r="F26" s="2">
        <v>44449</v>
      </c>
    </row>
    <row r="27" spans="1:6" x14ac:dyDescent="0.75">
      <c r="A27">
        <v>2025</v>
      </c>
      <c r="B27" t="s">
        <v>55</v>
      </c>
      <c r="C27" t="s">
        <v>26</v>
      </c>
      <c r="D27">
        <v>598</v>
      </c>
      <c r="E27" s="1">
        <v>19509</v>
      </c>
      <c r="F27" s="2">
        <v>88060</v>
      </c>
    </row>
    <row r="28" spans="1:6" x14ac:dyDescent="0.75">
      <c r="A28">
        <v>2025</v>
      </c>
      <c r="B28" t="s">
        <v>55</v>
      </c>
      <c r="C28" t="s">
        <v>27</v>
      </c>
      <c r="D28">
        <v>350</v>
      </c>
      <c r="E28" s="1">
        <v>2671</v>
      </c>
      <c r="F28" s="2">
        <v>48051</v>
      </c>
    </row>
    <row r="29" spans="1:6" x14ac:dyDescent="0.75">
      <c r="A29">
        <v>2025</v>
      </c>
      <c r="B29" t="s">
        <v>55</v>
      </c>
      <c r="C29" t="s">
        <v>28</v>
      </c>
      <c r="D29">
        <v>999</v>
      </c>
      <c r="E29" s="1">
        <v>11868</v>
      </c>
      <c r="F29" s="2">
        <v>44634</v>
      </c>
    </row>
    <row r="30" spans="1:6" x14ac:dyDescent="0.75">
      <c r="A30">
        <v>2025</v>
      </c>
      <c r="B30" t="s">
        <v>55</v>
      </c>
      <c r="C30" t="s">
        <v>29</v>
      </c>
      <c r="D30" s="1">
        <v>2064</v>
      </c>
      <c r="E30" s="1">
        <v>30471</v>
      </c>
      <c r="F30" s="2">
        <v>65885</v>
      </c>
    </row>
    <row r="31" spans="1:6" x14ac:dyDescent="0.75">
      <c r="A31">
        <v>2025</v>
      </c>
      <c r="B31" t="s">
        <v>55</v>
      </c>
      <c r="C31" t="s">
        <v>30</v>
      </c>
      <c r="D31" s="1">
        <v>3335</v>
      </c>
      <c r="E31" s="1">
        <v>31214</v>
      </c>
      <c r="F31" s="2">
        <v>44384</v>
      </c>
    </row>
    <row r="32" spans="1:6" x14ac:dyDescent="0.75">
      <c r="A32">
        <v>2025</v>
      </c>
      <c r="B32" t="s">
        <v>55</v>
      </c>
      <c r="C32" t="s">
        <v>31</v>
      </c>
      <c r="D32" s="1">
        <v>3428</v>
      </c>
      <c r="E32" s="1">
        <v>29560</v>
      </c>
      <c r="F32" s="2">
        <v>42720</v>
      </c>
    </row>
    <row r="33" spans="1:6" x14ac:dyDescent="0.75">
      <c r="A33">
        <v>2025</v>
      </c>
      <c r="B33" t="s">
        <v>55</v>
      </c>
      <c r="C33" t="s">
        <v>32</v>
      </c>
      <c r="D33" s="1">
        <v>1830</v>
      </c>
      <c r="E33" s="1">
        <v>19954</v>
      </c>
      <c r="F33" s="2">
        <v>92355</v>
      </c>
    </row>
    <row r="34" spans="1:6" x14ac:dyDescent="0.75">
      <c r="A34">
        <v>2025</v>
      </c>
      <c r="B34" t="s">
        <v>55</v>
      </c>
      <c r="C34" t="s">
        <v>33</v>
      </c>
      <c r="D34" s="1">
        <v>2541</v>
      </c>
      <c r="E34" s="1">
        <v>25841</v>
      </c>
      <c r="F34" s="2">
        <v>51404</v>
      </c>
    </row>
    <row r="35" spans="1:6" x14ac:dyDescent="0.75">
      <c r="A35">
        <v>2025</v>
      </c>
      <c r="B35" t="s">
        <v>55</v>
      </c>
      <c r="C35" t="s">
        <v>34</v>
      </c>
      <c r="D35" s="1">
        <v>4355</v>
      </c>
      <c r="E35" s="1">
        <v>40722</v>
      </c>
      <c r="F35" s="2">
        <v>90660</v>
      </c>
    </row>
    <row r="36" spans="1:6" x14ac:dyDescent="0.75">
      <c r="A36">
        <v>2025</v>
      </c>
      <c r="B36" t="s">
        <v>55</v>
      </c>
      <c r="C36" t="s">
        <v>35</v>
      </c>
      <c r="D36" s="1">
        <v>4739</v>
      </c>
      <c r="E36" s="1">
        <v>54360</v>
      </c>
      <c r="F36" s="2">
        <v>40689</v>
      </c>
    </row>
    <row r="37" spans="1:6" x14ac:dyDescent="0.75">
      <c r="A37">
        <v>2025</v>
      </c>
      <c r="B37" t="s">
        <v>55</v>
      </c>
      <c r="C37" t="s">
        <v>36</v>
      </c>
      <c r="D37" s="1">
        <v>3629</v>
      </c>
      <c r="E37" s="1">
        <v>47789</v>
      </c>
      <c r="F37" s="2">
        <v>61949</v>
      </c>
    </row>
    <row r="38" spans="1:6" x14ac:dyDescent="0.75">
      <c r="A38">
        <v>2025</v>
      </c>
      <c r="B38" t="s">
        <v>55</v>
      </c>
      <c r="C38" t="s">
        <v>37</v>
      </c>
      <c r="D38">
        <v>205</v>
      </c>
      <c r="E38" s="1">
        <v>1128</v>
      </c>
      <c r="F38" s="2">
        <v>42071</v>
      </c>
    </row>
    <row r="39" spans="1:6" x14ac:dyDescent="0.75">
      <c r="A39">
        <v>2025</v>
      </c>
      <c r="B39" t="s">
        <v>55</v>
      </c>
      <c r="C39" t="s">
        <v>38</v>
      </c>
      <c r="D39" s="1">
        <v>1375</v>
      </c>
      <c r="E39" s="1">
        <v>12442</v>
      </c>
      <c r="F39" s="2">
        <v>44990</v>
      </c>
    </row>
    <row r="40" spans="1:6" x14ac:dyDescent="0.75">
      <c r="A40">
        <v>2025</v>
      </c>
      <c r="B40" t="s">
        <v>55</v>
      </c>
      <c r="C40" t="s">
        <v>39</v>
      </c>
      <c r="D40" s="1">
        <v>1099</v>
      </c>
      <c r="E40" s="1">
        <v>7137</v>
      </c>
      <c r="F40" s="2">
        <v>45582</v>
      </c>
    </row>
    <row r="41" spans="1:6" x14ac:dyDescent="0.75">
      <c r="A41">
        <v>2025</v>
      </c>
      <c r="B41" t="s">
        <v>55</v>
      </c>
      <c r="C41" t="s">
        <v>40</v>
      </c>
      <c r="D41" s="1">
        <v>1130</v>
      </c>
      <c r="E41" s="1">
        <v>11134</v>
      </c>
      <c r="F41" s="2">
        <v>48930</v>
      </c>
    </row>
    <row r="42" spans="1:6" x14ac:dyDescent="0.75">
      <c r="A42">
        <v>2025</v>
      </c>
      <c r="B42" t="s">
        <v>55</v>
      </c>
      <c r="C42" t="s">
        <v>41</v>
      </c>
      <c r="D42" s="1">
        <v>19698</v>
      </c>
      <c r="E42" s="1">
        <v>249859</v>
      </c>
      <c r="F42" s="2">
        <v>117086</v>
      </c>
    </row>
    <row r="43" spans="1:6" x14ac:dyDescent="0.75">
      <c r="A43">
        <v>2025</v>
      </c>
      <c r="B43" t="s">
        <v>55</v>
      </c>
      <c r="C43" t="s">
        <v>42</v>
      </c>
      <c r="D43" s="1">
        <v>1066</v>
      </c>
      <c r="E43" s="1">
        <v>14648</v>
      </c>
      <c r="F43" s="2">
        <v>65747</v>
      </c>
    </row>
    <row r="44" spans="1:6" x14ac:dyDescent="0.75">
      <c r="A44">
        <v>2025</v>
      </c>
      <c r="B44" t="s">
        <v>55</v>
      </c>
      <c r="C44" t="s">
        <v>43</v>
      </c>
      <c r="D44">
        <v>571</v>
      </c>
      <c r="E44" s="1">
        <v>4095</v>
      </c>
      <c r="F44" s="2">
        <v>41096</v>
      </c>
    </row>
    <row r="45" spans="1:6" x14ac:dyDescent="0.75">
      <c r="A45">
        <v>2025</v>
      </c>
      <c r="B45" t="s">
        <v>55</v>
      </c>
      <c r="C45" t="s">
        <v>44</v>
      </c>
      <c r="D45" s="1">
        <v>2073</v>
      </c>
      <c r="E45" s="1">
        <v>17603</v>
      </c>
      <c r="F45" s="2">
        <v>48671</v>
      </c>
    </row>
    <row r="46" spans="1:6" x14ac:dyDescent="0.75">
      <c r="A46">
        <v>2025</v>
      </c>
      <c r="B46" t="s">
        <v>55</v>
      </c>
      <c r="C46" t="s">
        <v>45</v>
      </c>
      <c r="D46" s="1">
        <v>6971</v>
      </c>
      <c r="E46" s="1">
        <v>101358</v>
      </c>
      <c r="F46" s="2">
        <v>36964</v>
      </c>
    </row>
    <row r="47" spans="1:6" x14ac:dyDescent="0.75">
      <c r="A47">
        <v>2025</v>
      </c>
      <c r="B47" t="s">
        <v>55</v>
      </c>
      <c r="C47" t="s">
        <v>46</v>
      </c>
      <c r="D47" s="1">
        <v>1117</v>
      </c>
      <c r="E47" s="1">
        <v>18455</v>
      </c>
      <c r="F47" s="2">
        <v>78059</v>
      </c>
    </row>
    <row r="48" spans="1:6" x14ac:dyDescent="0.75">
      <c r="A48">
        <v>2025</v>
      </c>
      <c r="B48" t="s">
        <v>55</v>
      </c>
      <c r="C48" t="s">
        <v>47</v>
      </c>
      <c r="D48" s="1">
        <v>2872</v>
      </c>
      <c r="E48" s="1">
        <v>30781</v>
      </c>
      <c r="F48" s="2">
        <v>41928</v>
      </c>
    </row>
    <row r="49" spans="1:6" x14ac:dyDescent="0.75">
      <c r="A49">
        <v>2025</v>
      </c>
      <c r="B49" t="s">
        <v>55</v>
      </c>
      <c r="C49" t="s">
        <v>48</v>
      </c>
      <c r="D49" s="1">
        <v>1440</v>
      </c>
      <c r="E49" s="1">
        <v>19091</v>
      </c>
      <c r="F49" s="2">
        <v>83063</v>
      </c>
    </row>
    <row r="50" spans="1:6" x14ac:dyDescent="0.75">
      <c r="A50">
        <v>2025</v>
      </c>
      <c r="B50" t="s">
        <v>51</v>
      </c>
      <c r="C50" t="s">
        <v>1</v>
      </c>
      <c r="D50" s="1">
        <v>10335</v>
      </c>
      <c r="E50" s="1">
        <v>92772</v>
      </c>
      <c r="F50" s="2">
        <v>59279</v>
      </c>
    </row>
    <row r="51" spans="1:6" x14ac:dyDescent="0.75">
      <c r="A51">
        <v>2025</v>
      </c>
      <c r="B51" t="s">
        <v>51</v>
      </c>
      <c r="C51" t="s">
        <v>2</v>
      </c>
      <c r="D51" s="1">
        <v>14006</v>
      </c>
      <c r="E51" s="1">
        <v>173852</v>
      </c>
      <c r="F51" s="2">
        <v>63056</v>
      </c>
    </row>
    <row r="52" spans="1:6" x14ac:dyDescent="0.75">
      <c r="A52">
        <v>2025</v>
      </c>
      <c r="B52" t="s">
        <v>51</v>
      </c>
      <c r="C52" t="s">
        <v>3</v>
      </c>
      <c r="D52" s="1">
        <v>7277</v>
      </c>
      <c r="E52" s="1">
        <v>53142</v>
      </c>
      <c r="F52" s="2">
        <v>52247</v>
      </c>
    </row>
    <row r="53" spans="1:6" x14ac:dyDescent="0.75">
      <c r="A53">
        <v>2025</v>
      </c>
      <c r="B53" t="s">
        <v>51</v>
      </c>
      <c r="C53" t="s">
        <v>4</v>
      </c>
      <c r="D53" s="1">
        <v>86322</v>
      </c>
      <c r="E53" s="1">
        <v>855879</v>
      </c>
      <c r="F53" s="2">
        <v>76740</v>
      </c>
    </row>
    <row r="54" spans="1:6" x14ac:dyDescent="0.75">
      <c r="A54">
        <v>2025</v>
      </c>
      <c r="B54" t="s">
        <v>51</v>
      </c>
      <c r="C54" t="s">
        <v>5</v>
      </c>
      <c r="D54" s="1">
        <v>21025</v>
      </c>
      <c r="E54" s="1">
        <v>174730</v>
      </c>
      <c r="F54" s="2">
        <v>68209</v>
      </c>
    </row>
    <row r="55" spans="1:6" x14ac:dyDescent="0.75">
      <c r="A55">
        <v>2025</v>
      </c>
      <c r="B55" t="s">
        <v>51</v>
      </c>
      <c r="C55" t="s">
        <v>6</v>
      </c>
      <c r="D55" s="1">
        <v>9415</v>
      </c>
      <c r="E55" s="1">
        <v>56915</v>
      </c>
      <c r="F55" s="2">
        <v>75591</v>
      </c>
    </row>
    <row r="56" spans="1:6" x14ac:dyDescent="0.75">
      <c r="A56">
        <v>2025</v>
      </c>
      <c r="B56" t="s">
        <v>51</v>
      </c>
      <c r="C56" t="s">
        <v>7</v>
      </c>
      <c r="D56" s="1">
        <v>3106</v>
      </c>
      <c r="E56" s="1">
        <v>22403</v>
      </c>
      <c r="F56" s="2">
        <v>64977</v>
      </c>
    </row>
    <row r="57" spans="1:6" x14ac:dyDescent="0.75">
      <c r="A57">
        <v>2025</v>
      </c>
      <c r="B57" t="s">
        <v>51</v>
      </c>
      <c r="C57" t="s">
        <v>8</v>
      </c>
      <c r="D57" s="1">
        <v>76308</v>
      </c>
      <c r="E57" s="1">
        <v>561991</v>
      </c>
      <c r="F57" s="2">
        <v>55910</v>
      </c>
    </row>
    <row r="58" spans="1:6" x14ac:dyDescent="0.75">
      <c r="A58">
        <v>2025</v>
      </c>
      <c r="B58" t="s">
        <v>51</v>
      </c>
      <c r="C58" t="s">
        <v>9</v>
      </c>
      <c r="D58" s="1">
        <v>22906</v>
      </c>
      <c r="E58" s="1">
        <v>200710</v>
      </c>
      <c r="F58" s="2">
        <v>66214</v>
      </c>
    </row>
    <row r="59" spans="1:6" x14ac:dyDescent="0.75">
      <c r="A59">
        <v>2025</v>
      </c>
      <c r="B59" t="s">
        <v>51</v>
      </c>
      <c r="C59" t="s">
        <v>10</v>
      </c>
      <c r="D59" s="1">
        <v>9159</v>
      </c>
      <c r="E59" s="1">
        <v>53385</v>
      </c>
      <c r="F59" s="2">
        <v>48649</v>
      </c>
    </row>
    <row r="60" spans="1:6" x14ac:dyDescent="0.75">
      <c r="A60">
        <v>2025</v>
      </c>
      <c r="B60" t="s">
        <v>51</v>
      </c>
      <c r="C60" t="s">
        <v>11</v>
      </c>
      <c r="D60" s="1">
        <v>32538</v>
      </c>
      <c r="E60" s="1">
        <v>216664</v>
      </c>
      <c r="F60" s="2">
        <v>76581</v>
      </c>
    </row>
    <row r="61" spans="1:6" x14ac:dyDescent="0.75">
      <c r="A61">
        <v>2025</v>
      </c>
      <c r="B61" t="s">
        <v>51</v>
      </c>
      <c r="C61" t="s">
        <v>12</v>
      </c>
      <c r="D61" s="1">
        <v>15617</v>
      </c>
      <c r="E61" s="1">
        <v>144001</v>
      </c>
      <c r="F61" s="2">
        <v>62619</v>
      </c>
    </row>
    <row r="62" spans="1:6" x14ac:dyDescent="0.75">
      <c r="A62">
        <v>2025</v>
      </c>
      <c r="B62" t="s">
        <v>51</v>
      </c>
      <c r="C62" t="s">
        <v>13</v>
      </c>
      <c r="D62" s="1">
        <v>9434</v>
      </c>
      <c r="E62" s="1">
        <v>76561</v>
      </c>
      <c r="F62" s="2">
        <v>61831</v>
      </c>
    </row>
    <row r="63" spans="1:6" x14ac:dyDescent="0.75">
      <c r="A63">
        <v>2025</v>
      </c>
      <c r="B63" t="s">
        <v>51</v>
      </c>
      <c r="C63" t="s">
        <v>14</v>
      </c>
      <c r="D63" s="1">
        <v>7355</v>
      </c>
      <c r="E63" s="1">
        <v>63118</v>
      </c>
      <c r="F63" s="2">
        <v>59126</v>
      </c>
    </row>
    <row r="64" spans="1:6" x14ac:dyDescent="0.75">
      <c r="A64">
        <v>2025</v>
      </c>
      <c r="B64" t="s">
        <v>51</v>
      </c>
      <c r="C64" t="s">
        <v>15</v>
      </c>
      <c r="D64" s="1">
        <v>9832</v>
      </c>
      <c r="E64" s="1">
        <v>77924</v>
      </c>
      <c r="F64" s="2">
        <v>58484</v>
      </c>
    </row>
    <row r="65" spans="1:6" x14ac:dyDescent="0.75">
      <c r="A65">
        <v>2025</v>
      </c>
      <c r="B65" t="s">
        <v>51</v>
      </c>
      <c r="C65" t="s">
        <v>16</v>
      </c>
      <c r="D65" s="1">
        <v>11349</v>
      </c>
      <c r="E65" s="1">
        <v>121521</v>
      </c>
      <c r="F65" s="2">
        <v>65354</v>
      </c>
    </row>
    <row r="66" spans="1:6" x14ac:dyDescent="0.75">
      <c r="A66">
        <v>2025</v>
      </c>
      <c r="B66" t="s">
        <v>51</v>
      </c>
      <c r="C66" t="s">
        <v>17</v>
      </c>
      <c r="D66" s="1">
        <v>5732</v>
      </c>
      <c r="E66" s="1">
        <v>30344</v>
      </c>
      <c r="F66" s="2">
        <v>55607</v>
      </c>
    </row>
    <row r="67" spans="1:6" x14ac:dyDescent="0.75">
      <c r="A67">
        <v>2025</v>
      </c>
      <c r="B67" t="s">
        <v>51</v>
      </c>
      <c r="C67" t="s">
        <v>18</v>
      </c>
      <c r="D67" s="1">
        <v>16346</v>
      </c>
      <c r="E67" s="1">
        <v>160039</v>
      </c>
      <c r="F67" s="2">
        <v>70642</v>
      </c>
    </row>
    <row r="68" spans="1:6" x14ac:dyDescent="0.75">
      <c r="A68">
        <v>2025</v>
      </c>
      <c r="B68" t="s">
        <v>51</v>
      </c>
      <c r="C68" t="s">
        <v>19</v>
      </c>
      <c r="D68" s="1">
        <v>21102</v>
      </c>
      <c r="E68" s="1">
        <v>152366</v>
      </c>
      <c r="F68" s="2">
        <v>84958</v>
      </c>
    </row>
    <row r="69" spans="1:6" x14ac:dyDescent="0.75">
      <c r="A69">
        <v>2025</v>
      </c>
      <c r="B69" t="s">
        <v>51</v>
      </c>
      <c r="C69" t="s">
        <v>20</v>
      </c>
      <c r="D69" s="1">
        <v>21646</v>
      </c>
      <c r="E69" s="1">
        <v>164028</v>
      </c>
      <c r="F69" s="2">
        <v>67631</v>
      </c>
    </row>
    <row r="70" spans="1:6" x14ac:dyDescent="0.75">
      <c r="A70">
        <v>2025</v>
      </c>
      <c r="B70" t="s">
        <v>51</v>
      </c>
      <c r="C70" t="s">
        <v>21</v>
      </c>
      <c r="D70" s="1">
        <v>16952</v>
      </c>
      <c r="E70" s="1">
        <v>123866</v>
      </c>
      <c r="F70" s="2">
        <v>72942</v>
      </c>
    </row>
    <row r="71" spans="1:6" x14ac:dyDescent="0.75">
      <c r="A71">
        <v>2025</v>
      </c>
      <c r="B71" t="s">
        <v>51</v>
      </c>
      <c r="C71" t="s">
        <v>22</v>
      </c>
      <c r="D71" s="1">
        <v>5839</v>
      </c>
      <c r="E71" s="1">
        <v>43888</v>
      </c>
      <c r="F71" s="2">
        <v>53779</v>
      </c>
    </row>
    <row r="72" spans="1:6" x14ac:dyDescent="0.75">
      <c r="A72">
        <v>2025</v>
      </c>
      <c r="B72" t="s">
        <v>51</v>
      </c>
      <c r="C72" t="s">
        <v>23</v>
      </c>
      <c r="D72" s="1">
        <v>15735</v>
      </c>
      <c r="E72" s="1">
        <v>126375</v>
      </c>
      <c r="F72" s="2">
        <v>64664</v>
      </c>
    </row>
    <row r="73" spans="1:6" x14ac:dyDescent="0.75">
      <c r="A73">
        <v>2025</v>
      </c>
      <c r="B73" t="s">
        <v>51</v>
      </c>
      <c r="C73" t="s">
        <v>24</v>
      </c>
      <c r="D73" s="1">
        <v>6813</v>
      </c>
      <c r="E73" s="1">
        <v>30793</v>
      </c>
      <c r="F73" s="2">
        <v>55897</v>
      </c>
    </row>
    <row r="74" spans="1:6" x14ac:dyDescent="0.75">
      <c r="A74">
        <v>2025</v>
      </c>
      <c r="B74" t="s">
        <v>51</v>
      </c>
      <c r="C74" t="s">
        <v>25</v>
      </c>
      <c r="D74" s="1">
        <v>7000</v>
      </c>
      <c r="E74" s="1">
        <v>55249</v>
      </c>
      <c r="F74" s="2">
        <v>56548</v>
      </c>
    </row>
    <row r="75" spans="1:6" x14ac:dyDescent="0.75">
      <c r="A75">
        <v>2025</v>
      </c>
      <c r="B75" t="s">
        <v>51</v>
      </c>
      <c r="C75" t="s">
        <v>26</v>
      </c>
      <c r="D75" s="1">
        <v>5757</v>
      </c>
      <c r="E75" s="1">
        <v>93450</v>
      </c>
      <c r="F75" s="2">
        <v>67902</v>
      </c>
    </row>
    <row r="76" spans="1:6" x14ac:dyDescent="0.75">
      <c r="A76">
        <v>2025</v>
      </c>
      <c r="B76" t="s">
        <v>51</v>
      </c>
      <c r="C76" t="s">
        <v>27</v>
      </c>
      <c r="D76" s="1">
        <v>4901</v>
      </c>
      <c r="E76" s="1">
        <v>27866</v>
      </c>
      <c r="F76" s="2">
        <v>68870</v>
      </c>
    </row>
    <row r="77" spans="1:6" x14ac:dyDescent="0.75">
      <c r="A77">
        <v>2025</v>
      </c>
      <c r="B77" t="s">
        <v>51</v>
      </c>
      <c r="C77" t="s">
        <v>28</v>
      </c>
      <c r="D77" s="1">
        <v>22711</v>
      </c>
      <c r="E77" s="1">
        <v>151469</v>
      </c>
      <c r="F77" s="2">
        <v>77924</v>
      </c>
    </row>
    <row r="78" spans="1:6" x14ac:dyDescent="0.75">
      <c r="A78">
        <v>2025</v>
      </c>
      <c r="B78" t="s">
        <v>51</v>
      </c>
      <c r="C78" t="s">
        <v>29</v>
      </c>
      <c r="D78" s="1">
        <v>5485</v>
      </c>
      <c r="E78" s="1">
        <v>48577</v>
      </c>
      <c r="F78" s="2">
        <v>53439</v>
      </c>
    </row>
    <row r="79" spans="1:6" x14ac:dyDescent="0.75">
      <c r="A79">
        <v>2025</v>
      </c>
      <c r="B79" t="s">
        <v>51</v>
      </c>
      <c r="C79" t="s">
        <v>30</v>
      </c>
      <c r="D79" s="1">
        <v>50929</v>
      </c>
      <c r="E79" s="1">
        <v>361821</v>
      </c>
      <c r="F79" s="2">
        <v>78199</v>
      </c>
    </row>
    <row r="80" spans="1:6" x14ac:dyDescent="0.75">
      <c r="A80">
        <v>2025</v>
      </c>
      <c r="B80" t="s">
        <v>51</v>
      </c>
      <c r="C80" t="s">
        <v>31</v>
      </c>
      <c r="D80" s="1">
        <v>29231</v>
      </c>
      <c r="E80" s="1">
        <v>229369</v>
      </c>
      <c r="F80" s="2">
        <v>59177</v>
      </c>
    </row>
    <row r="81" spans="1:6" x14ac:dyDescent="0.75">
      <c r="A81">
        <v>2025</v>
      </c>
      <c r="B81" t="s">
        <v>51</v>
      </c>
      <c r="C81" t="s">
        <v>32</v>
      </c>
      <c r="D81" s="1">
        <v>3669</v>
      </c>
      <c r="E81" s="1">
        <v>25364</v>
      </c>
      <c r="F81" s="2">
        <v>66729</v>
      </c>
    </row>
    <row r="82" spans="1:6" x14ac:dyDescent="0.75">
      <c r="A82">
        <v>2025</v>
      </c>
      <c r="B82" t="s">
        <v>51</v>
      </c>
      <c r="C82" t="s">
        <v>33</v>
      </c>
      <c r="D82" s="1">
        <v>23650</v>
      </c>
      <c r="E82" s="1">
        <v>218531</v>
      </c>
      <c r="F82" s="2">
        <v>65104</v>
      </c>
    </row>
    <row r="83" spans="1:6" x14ac:dyDescent="0.75">
      <c r="A83">
        <v>2025</v>
      </c>
      <c r="B83" t="s">
        <v>51</v>
      </c>
      <c r="C83" t="s">
        <v>34</v>
      </c>
      <c r="D83" s="1">
        <v>9855</v>
      </c>
      <c r="E83" s="1">
        <v>78772</v>
      </c>
      <c r="F83" s="2">
        <v>55099</v>
      </c>
    </row>
    <row r="84" spans="1:6" x14ac:dyDescent="0.75">
      <c r="A84">
        <v>2025</v>
      </c>
      <c r="B84" t="s">
        <v>51</v>
      </c>
      <c r="C84" t="s">
        <v>35</v>
      </c>
      <c r="D84" s="1">
        <v>14899</v>
      </c>
      <c r="E84" s="1">
        <v>107568</v>
      </c>
      <c r="F84" s="2">
        <v>66876</v>
      </c>
    </row>
    <row r="85" spans="1:6" x14ac:dyDescent="0.75">
      <c r="A85">
        <v>2025</v>
      </c>
      <c r="B85" t="s">
        <v>51</v>
      </c>
      <c r="C85" t="s">
        <v>36</v>
      </c>
      <c r="D85" s="1">
        <v>29345</v>
      </c>
      <c r="E85" s="1">
        <v>241570</v>
      </c>
      <c r="F85" s="2">
        <v>70639</v>
      </c>
    </row>
    <row r="86" spans="1:6" x14ac:dyDescent="0.75">
      <c r="A86">
        <v>2025</v>
      </c>
      <c r="B86" t="s">
        <v>51</v>
      </c>
      <c r="C86" t="s">
        <v>37</v>
      </c>
      <c r="D86" s="1">
        <v>3878</v>
      </c>
      <c r="E86" s="1">
        <v>18924</v>
      </c>
      <c r="F86" s="2">
        <v>66955</v>
      </c>
    </row>
    <row r="87" spans="1:6" x14ac:dyDescent="0.75">
      <c r="A87">
        <v>2025</v>
      </c>
      <c r="B87" t="s">
        <v>51</v>
      </c>
      <c r="C87" t="s">
        <v>38</v>
      </c>
      <c r="D87" s="1">
        <v>13348</v>
      </c>
      <c r="E87" s="1">
        <v>103647</v>
      </c>
      <c r="F87" s="2">
        <v>57906</v>
      </c>
    </row>
    <row r="88" spans="1:6" x14ac:dyDescent="0.75">
      <c r="A88">
        <v>2025</v>
      </c>
      <c r="B88" t="s">
        <v>51</v>
      </c>
      <c r="C88" t="s">
        <v>39</v>
      </c>
      <c r="D88" s="1">
        <v>3954</v>
      </c>
      <c r="E88" s="1">
        <v>24410</v>
      </c>
      <c r="F88" s="2">
        <v>54005</v>
      </c>
    </row>
    <row r="89" spans="1:6" x14ac:dyDescent="0.75">
      <c r="A89">
        <v>2025</v>
      </c>
      <c r="B89" t="s">
        <v>51</v>
      </c>
      <c r="C89" t="s">
        <v>40</v>
      </c>
      <c r="D89" s="1">
        <v>12894</v>
      </c>
      <c r="E89" s="1">
        <v>130050</v>
      </c>
      <c r="F89" s="2">
        <v>62259</v>
      </c>
    </row>
    <row r="90" spans="1:6" x14ac:dyDescent="0.75">
      <c r="A90">
        <v>2025</v>
      </c>
      <c r="B90" t="s">
        <v>51</v>
      </c>
      <c r="C90" t="s">
        <v>41</v>
      </c>
      <c r="D90" s="1">
        <v>55014</v>
      </c>
      <c r="E90" s="1">
        <v>737125</v>
      </c>
      <c r="F90" s="2">
        <v>68929</v>
      </c>
    </row>
    <row r="91" spans="1:6" x14ac:dyDescent="0.75">
      <c r="A91">
        <v>2025</v>
      </c>
      <c r="B91" t="s">
        <v>51</v>
      </c>
      <c r="C91" t="s">
        <v>42</v>
      </c>
      <c r="D91" s="1">
        <v>12932</v>
      </c>
      <c r="E91" s="1">
        <v>115416</v>
      </c>
      <c r="F91" s="2">
        <v>57474</v>
      </c>
    </row>
    <row r="92" spans="1:6" x14ac:dyDescent="0.75">
      <c r="A92">
        <v>2025</v>
      </c>
      <c r="B92" t="s">
        <v>51</v>
      </c>
      <c r="C92" t="s">
        <v>43</v>
      </c>
      <c r="D92" s="1">
        <v>2839</v>
      </c>
      <c r="E92" s="1">
        <v>14269</v>
      </c>
      <c r="F92" s="2">
        <v>55130</v>
      </c>
    </row>
    <row r="93" spans="1:6" x14ac:dyDescent="0.75">
      <c r="A93">
        <v>2025</v>
      </c>
      <c r="B93" t="s">
        <v>51</v>
      </c>
      <c r="C93" t="s">
        <v>44</v>
      </c>
      <c r="D93" s="1">
        <v>21412</v>
      </c>
      <c r="E93" s="1">
        <v>201137</v>
      </c>
      <c r="F93" s="2">
        <v>63521</v>
      </c>
    </row>
    <row r="94" spans="1:6" x14ac:dyDescent="0.75">
      <c r="A94">
        <v>2025</v>
      </c>
      <c r="B94" t="s">
        <v>51</v>
      </c>
      <c r="C94" t="s">
        <v>45</v>
      </c>
      <c r="D94" s="1">
        <v>27072</v>
      </c>
      <c r="E94" s="1">
        <v>199964</v>
      </c>
      <c r="F94" s="2">
        <v>69827</v>
      </c>
    </row>
    <row r="95" spans="1:6" x14ac:dyDescent="0.75">
      <c r="A95">
        <v>2025</v>
      </c>
      <c r="B95" t="s">
        <v>51</v>
      </c>
      <c r="C95" t="s">
        <v>46</v>
      </c>
      <c r="D95" s="1">
        <v>4300</v>
      </c>
      <c r="E95" s="1">
        <v>29583</v>
      </c>
      <c r="F95" s="2">
        <v>60489</v>
      </c>
    </row>
    <row r="96" spans="1:6" x14ac:dyDescent="0.75">
      <c r="A96">
        <v>2025</v>
      </c>
      <c r="B96" t="s">
        <v>51</v>
      </c>
      <c r="C96" t="s">
        <v>47</v>
      </c>
      <c r="D96" s="1">
        <v>14760</v>
      </c>
      <c r="E96" s="1">
        <v>123846</v>
      </c>
      <c r="F96" s="2">
        <v>66423</v>
      </c>
    </row>
    <row r="97" spans="1:6" x14ac:dyDescent="0.75">
      <c r="A97">
        <v>2025</v>
      </c>
      <c r="B97" t="s">
        <v>51</v>
      </c>
      <c r="C97" t="s">
        <v>48</v>
      </c>
      <c r="D97" s="1">
        <v>3478</v>
      </c>
      <c r="E97" s="1">
        <v>21200</v>
      </c>
      <c r="F97" s="2">
        <v>56640</v>
      </c>
    </row>
    <row r="98" spans="1:6" x14ac:dyDescent="0.75">
      <c r="A98">
        <v>2025</v>
      </c>
      <c r="B98" t="s">
        <v>52</v>
      </c>
      <c r="C98" t="s">
        <v>1</v>
      </c>
      <c r="D98" s="1">
        <v>5773</v>
      </c>
      <c r="E98" s="1">
        <v>258328</v>
      </c>
      <c r="F98" s="2">
        <v>60387</v>
      </c>
    </row>
    <row r="99" spans="1:6" x14ac:dyDescent="0.75">
      <c r="A99">
        <v>2025</v>
      </c>
      <c r="B99" t="s">
        <v>52</v>
      </c>
      <c r="C99" t="s">
        <v>2</v>
      </c>
      <c r="D99" s="1">
        <v>5213</v>
      </c>
      <c r="E99" s="1">
        <v>177110</v>
      </c>
      <c r="F99" s="2">
        <v>82375</v>
      </c>
    </row>
    <row r="100" spans="1:6" x14ac:dyDescent="0.75">
      <c r="A100">
        <v>2025</v>
      </c>
      <c r="B100" t="s">
        <v>52</v>
      </c>
      <c r="C100" t="s">
        <v>3</v>
      </c>
      <c r="D100" s="1">
        <v>2961</v>
      </c>
      <c r="E100" s="1">
        <v>154922</v>
      </c>
      <c r="F100" s="2">
        <v>51570</v>
      </c>
    </row>
    <row r="101" spans="1:6" x14ac:dyDescent="0.75">
      <c r="A101">
        <v>2025</v>
      </c>
      <c r="B101" t="s">
        <v>52</v>
      </c>
      <c r="C101" t="s">
        <v>4</v>
      </c>
      <c r="D101" s="1">
        <v>44156</v>
      </c>
      <c r="E101" s="1">
        <v>1263780</v>
      </c>
      <c r="F101" s="2">
        <v>109888</v>
      </c>
    </row>
    <row r="102" spans="1:6" x14ac:dyDescent="0.75">
      <c r="A102">
        <v>2025</v>
      </c>
      <c r="B102" t="s">
        <v>52</v>
      </c>
      <c r="C102" t="s">
        <v>5</v>
      </c>
      <c r="D102" s="1">
        <v>5888</v>
      </c>
      <c r="E102" s="1">
        <v>146473</v>
      </c>
      <c r="F102" s="2">
        <v>77207</v>
      </c>
    </row>
    <row r="103" spans="1:6" x14ac:dyDescent="0.75">
      <c r="A103">
        <v>2025</v>
      </c>
      <c r="B103" t="s">
        <v>52</v>
      </c>
      <c r="C103" t="s">
        <v>6</v>
      </c>
      <c r="D103" s="1">
        <v>4386</v>
      </c>
      <c r="E103" s="1">
        <v>153812</v>
      </c>
      <c r="F103" s="2">
        <v>87706</v>
      </c>
    </row>
    <row r="104" spans="1:6" x14ac:dyDescent="0.75">
      <c r="A104">
        <v>2025</v>
      </c>
      <c r="B104" t="s">
        <v>52</v>
      </c>
      <c r="C104" t="s">
        <v>7</v>
      </c>
      <c r="D104">
        <v>678</v>
      </c>
      <c r="E104" s="1">
        <v>25520</v>
      </c>
      <c r="F104" s="2">
        <v>68049</v>
      </c>
    </row>
    <row r="105" spans="1:6" x14ac:dyDescent="0.75">
      <c r="A105">
        <v>2025</v>
      </c>
      <c r="B105" t="s">
        <v>52</v>
      </c>
      <c r="C105" t="s">
        <v>8</v>
      </c>
      <c r="D105" s="1">
        <v>21275</v>
      </c>
      <c r="E105" s="1">
        <v>376070</v>
      </c>
      <c r="F105" s="2">
        <v>66758</v>
      </c>
    </row>
    <row r="106" spans="1:6" x14ac:dyDescent="0.75">
      <c r="A106">
        <v>2025</v>
      </c>
      <c r="B106" t="s">
        <v>52</v>
      </c>
      <c r="C106" t="s">
        <v>9</v>
      </c>
      <c r="D106" s="1">
        <v>10646</v>
      </c>
      <c r="E106" s="1">
        <v>382938</v>
      </c>
      <c r="F106" s="2">
        <v>60184</v>
      </c>
    </row>
    <row r="107" spans="1:6" x14ac:dyDescent="0.75">
      <c r="A107">
        <v>2025</v>
      </c>
      <c r="B107" t="s">
        <v>52</v>
      </c>
      <c r="C107" t="s">
        <v>10</v>
      </c>
      <c r="D107" s="1">
        <v>2886</v>
      </c>
      <c r="E107" s="1">
        <v>67700</v>
      </c>
      <c r="F107" s="2">
        <v>65603</v>
      </c>
    </row>
    <row r="108" spans="1:6" x14ac:dyDescent="0.75">
      <c r="A108">
        <v>2025</v>
      </c>
      <c r="B108" t="s">
        <v>52</v>
      </c>
      <c r="C108" t="s">
        <v>11</v>
      </c>
      <c r="D108" s="1">
        <v>18033</v>
      </c>
      <c r="E108" s="1">
        <v>554712</v>
      </c>
      <c r="F108" s="2">
        <v>74855</v>
      </c>
    </row>
    <row r="109" spans="1:6" x14ac:dyDescent="0.75">
      <c r="A109">
        <v>2025</v>
      </c>
      <c r="B109" t="s">
        <v>52</v>
      </c>
      <c r="C109" t="s">
        <v>12</v>
      </c>
      <c r="D109" s="1">
        <v>9255</v>
      </c>
      <c r="E109" s="1">
        <v>504460</v>
      </c>
      <c r="F109" s="2">
        <v>65092</v>
      </c>
    </row>
    <row r="110" spans="1:6" x14ac:dyDescent="0.75">
      <c r="A110">
        <v>2025</v>
      </c>
      <c r="B110" t="s">
        <v>52</v>
      </c>
      <c r="C110" t="s">
        <v>13</v>
      </c>
      <c r="D110" s="1">
        <v>4099</v>
      </c>
      <c r="E110" s="1">
        <v>216615</v>
      </c>
      <c r="F110" s="2">
        <v>63103</v>
      </c>
    </row>
    <row r="111" spans="1:6" x14ac:dyDescent="0.75">
      <c r="A111">
        <v>2025</v>
      </c>
      <c r="B111" t="s">
        <v>52</v>
      </c>
      <c r="C111" t="s">
        <v>14</v>
      </c>
      <c r="D111" s="1">
        <v>3109</v>
      </c>
      <c r="E111" s="1">
        <v>158784</v>
      </c>
      <c r="F111" s="2">
        <v>62958</v>
      </c>
    </row>
    <row r="112" spans="1:6" x14ac:dyDescent="0.75">
      <c r="A112">
        <v>2025</v>
      </c>
      <c r="B112" t="s">
        <v>52</v>
      </c>
      <c r="C112" t="s">
        <v>15</v>
      </c>
      <c r="D112" s="1">
        <v>4978</v>
      </c>
      <c r="E112" s="1">
        <v>235564</v>
      </c>
      <c r="F112" s="2">
        <v>62902</v>
      </c>
    </row>
    <row r="113" spans="1:6" x14ac:dyDescent="0.75">
      <c r="A113">
        <v>2025</v>
      </c>
      <c r="B113" t="s">
        <v>52</v>
      </c>
      <c r="C113" t="s">
        <v>16</v>
      </c>
      <c r="D113" s="1">
        <v>4501</v>
      </c>
      <c r="E113" s="1">
        <v>131430</v>
      </c>
      <c r="F113" s="2">
        <v>78183</v>
      </c>
    </row>
    <row r="114" spans="1:6" x14ac:dyDescent="0.75">
      <c r="A114">
        <v>2025</v>
      </c>
      <c r="B114" t="s">
        <v>52</v>
      </c>
      <c r="C114" t="s">
        <v>17</v>
      </c>
      <c r="D114" s="1">
        <v>1863</v>
      </c>
      <c r="E114" s="1">
        <v>50166</v>
      </c>
      <c r="F114" s="2">
        <v>61682</v>
      </c>
    </row>
    <row r="115" spans="1:6" x14ac:dyDescent="0.75">
      <c r="A115">
        <v>2025</v>
      </c>
      <c r="B115" t="s">
        <v>52</v>
      </c>
      <c r="C115" t="s">
        <v>18</v>
      </c>
      <c r="D115" s="1">
        <v>4168</v>
      </c>
      <c r="E115" s="1">
        <v>108500</v>
      </c>
      <c r="F115" s="2">
        <v>85426</v>
      </c>
    </row>
    <row r="116" spans="1:6" x14ac:dyDescent="0.75">
      <c r="A116">
        <v>2025</v>
      </c>
      <c r="B116" t="s">
        <v>52</v>
      </c>
      <c r="C116" t="s">
        <v>19</v>
      </c>
      <c r="D116" s="1">
        <v>6616</v>
      </c>
      <c r="E116" s="1">
        <v>229741</v>
      </c>
      <c r="F116" s="2">
        <v>96190</v>
      </c>
    </row>
    <row r="117" spans="1:6" x14ac:dyDescent="0.75">
      <c r="A117">
        <v>2025</v>
      </c>
      <c r="B117" t="s">
        <v>52</v>
      </c>
      <c r="C117" t="s">
        <v>20</v>
      </c>
      <c r="D117" s="1">
        <v>17437</v>
      </c>
      <c r="E117" s="1">
        <v>554767</v>
      </c>
      <c r="F117" s="2">
        <v>70769</v>
      </c>
    </row>
    <row r="118" spans="1:6" x14ac:dyDescent="0.75">
      <c r="A118">
        <v>2025</v>
      </c>
      <c r="B118" t="s">
        <v>52</v>
      </c>
      <c r="C118" t="s">
        <v>21</v>
      </c>
      <c r="D118" s="1">
        <v>8284</v>
      </c>
      <c r="E118" s="1">
        <v>309006</v>
      </c>
      <c r="F118" s="2">
        <v>70870</v>
      </c>
    </row>
    <row r="119" spans="1:6" x14ac:dyDescent="0.75">
      <c r="A119">
        <v>2025</v>
      </c>
      <c r="B119" t="s">
        <v>52</v>
      </c>
      <c r="C119" t="s">
        <v>22</v>
      </c>
      <c r="D119" s="1">
        <v>2375</v>
      </c>
      <c r="E119" s="1">
        <v>139480</v>
      </c>
      <c r="F119" s="2">
        <v>51918</v>
      </c>
    </row>
    <row r="120" spans="1:6" x14ac:dyDescent="0.75">
      <c r="A120">
        <v>2025</v>
      </c>
      <c r="B120" t="s">
        <v>52</v>
      </c>
      <c r="C120" t="s">
        <v>23</v>
      </c>
      <c r="D120" s="1">
        <v>6859</v>
      </c>
      <c r="E120" s="1">
        <v>266452</v>
      </c>
      <c r="F120" s="2">
        <v>61836</v>
      </c>
    </row>
    <row r="121" spans="1:6" x14ac:dyDescent="0.75">
      <c r="A121">
        <v>2025</v>
      </c>
      <c r="B121" t="s">
        <v>52</v>
      </c>
      <c r="C121" t="s">
        <v>24</v>
      </c>
      <c r="D121" s="1">
        <v>1672</v>
      </c>
      <c r="E121" s="1">
        <v>20421</v>
      </c>
      <c r="F121" s="2">
        <v>54178</v>
      </c>
    </row>
    <row r="122" spans="1:6" x14ac:dyDescent="0.75">
      <c r="A122">
        <v>2025</v>
      </c>
      <c r="B122" t="s">
        <v>52</v>
      </c>
      <c r="C122" t="s">
        <v>25</v>
      </c>
      <c r="D122" s="1">
        <v>1949</v>
      </c>
      <c r="E122" s="1">
        <v>97530</v>
      </c>
      <c r="F122" s="2">
        <v>56492</v>
      </c>
    </row>
    <row r="123" spans="1:6" x14ac:dyDescent="0.75">
      <c r="A123">
        <v>2025</v>
      </c>
      <c r="B123" t="s">
        <v>52</v>
      </c>
      <c r="C123" t="s">
        <v>26</v>
      </c>
      <c r="D123" s="1">
        <v>2054</v>
      </c>
      <c r="E123" s="1">
        <v>55673</v>
      </c>
      <c r="F123" s="2">
        <v>66821</v>
      </c>
    </row>
    <row r="124" spans="1:6" x14ac:dyDescent="0.75">
      <c r="A124">
        <v>2025</v>
      </c>
      <c r="B124" t="s">
        <v>52</v>
      </c>
      <c r="C124" t="s">
        <v>27</v>
      </c>
      <c r="D124" s="1">
        <v>2001</v>
      </c>
      <c r="E124" s="1">
        <v>67282</v>
      </c>
      <c r="F124" s="2">
        <v>77769</v>
      </c>
    </row>
    <row r="125" spans="1:6" x14ac:dyDescent="0.75">
      <c r="A125">
        <v>2025</v>
      </c>
      <c r="B125" t="s">
        <v>52</v>
      </c>
      <c r="C125" t="s">
        <v>28</v>
      </c>
      <c r="D125" s="1">
        <v>8964</v>
      </c>
      <c r="E125" s="1">
        <v>235850</v>
      </c>
      <c r="F125" s="2">
        <v>86277</v>
      </c>
    </row>
    <row r="126" spans="1:6" x14ac:dyDescent="0.75">
      <c r="A126">
        <v>2025</v>
      </c>
      <c r="B126" t="s">
        <v>52</v>
      </c>
      <c r="C126" t="s">
        <v>29</v>
      </c>
      <c r="D126" s="1">
        <v>1776</v>
      </c>
      <c r="E126" s="1">
        <v>27201</v>
      </c>
      <c r="F126" s="2">
        <v>58794</v>
      </c>
    </row>
    <row r="127" spans="1:6" x14ac:dyDescent="0.75">
      <c r="A127">
        <v>2025</v>
      </c>
      <c r="B127" t="s">
        <v>52</v>
      </c>
      <c r="C127" t="s">
        <v>30</v>
      </c>
      <c r="D127" s="1">
        <v>16292</v>
      </c>
      <c r="E127" s="1">
        <v>399337</v>
      </c>
      <c r="F127" s="2">
        <v>73103</v>
      </c>
    </row>
    <row r="128" spans="1:6" x14ac:dyDescent="0.75">
      <c r="A128">
        <v>2025</v>
      </c>
      <c r="B128" t="s">
        <v>52</v>
      </c>
      <c r="C128" t="s">
        <v>31</v>
      </c>
      <c r="D128" s="1">
        <v>10303</v>
      </c>
      <c r="E128" s="1">
        <v>452637</v>
      </c>
      <c r="F128" s="2">
        <v>63281</v>
      </c>
    </row>
    <row r="129" spans="1:6" x14ac:dyDescent="0.75">
      <c r="A129">
        <v>2025</v>
      </c>
      <c r="B129" t="s">
        <v>52</v>
      </c>
      <c r="C129" t="s">
        <v>32</v>
      </c>
      <c r="D129">
        <v>799</v>
      </c>
      <c r="E129" s="1">
        <v>25259</v>
      </c>
      <c r="F129" s="2">
        <v>57695</v>
      </c>
    </row>
    <row r="130" spans="1:6" x14ac:dyDescent="0.75">
      <c r="A130">
        <v>2025</v>
      </c>
      <c r="B130" t="s">
        <v>52</v>
      </c>
      <c r="C130" t="s">
        <v>33</v>
      </c>
      <c r="D130" s="1">
        <v>15453</v>
      </c>
      <c r="E130" s="1">
        <v>653028</v>
      </c>
      <c r="F130" s="2">
        <v>64995</v>
      </c>
    </row>
    <row r="131" spans="1:6" x14ac:dyDescent="0.75">
      <c r="A131">
        <v>2025</v>
      </c>
      <c r="B131" t="s">
        <v>52</v>
      </c>
      <c r="C131" t="s">
        <v>34</v>
      </c>
      <c r="D131" s="1">
        <v>4178</v>
      </c>
      <c r="E131" s="1">
        <v>131206</v>
      </c>
      <c r="F131" s="2">
        <v>60915</v>
      </c>
    </row>
    <row r="132" spans="1:6" x14ac:dyDescent="0.75">
      <c r="A132">
        <v>2025</v>
      </c>
      <c r="B132" t="s">
        <v>52</v>
      </c>
      <c r="C132" t="s">
        <v>35</v>
      </c>
      <c r="D132" s="1">
        <v>6354</v>
      </c>
      <c r="E132" s="1">
        <v>184947</v>
      </c>
      <c r="F132" s="2">
        <v>74927</v>
      </c>
    </row>
    <row r="133" spans="1:6" x14ac:dyDescent="0.75">
      <c r="A133">
        <v>2025</v>
      </c>
      <c r="B133" t="s">
        <v>52</v>
      </c>
      <c r="C133" t="s">
        <v>36</v>
      </c>
      <c r="D133" s="1">
        <v>14363</v>
      </c>
      <c r="E133" s="1">
        <v>537402</v>
      </c>
      <c r="F133" s="2">
        <v>66931</v>
      </c>
    </row>
    <row r="134" spans="1:6" x14ac:dyDescent="0.75">
      <c r="A134">
        <v>2025</v>
      </c>
      <c r="B134" t="s">
        <v>52</v>
      </c>
      <c r="C134" t="s">
        <v>37</v>
      </c>
      <c r="D134" s="1">
        <v>1516</v>
      </c>
      <c r="E134" s="1">
        <v>37411</v>
      </c>
      <c r="F134" s="2">
        <v>63645</v>
      </c>
    </row>
    <row r="135" spans="1:6" x14ac:dyDescent="0.75">
      <c r="A135">
        <v>2025</v>
      </c>
      <c r="B135" t="s">
        <v>52</v>
      </c>
      <c r="C135" t="s">
        <v>38</v>
      </c>
      <c r="D135" s="1">
        <v>6655</v>
      </c>
      <c r="E135" s="1">
        <v>244395</v>
      </c>
      <c r="F135" s="2">
        <v>61779</v>
      </c>
    </row>
    <row r="136" spans="1:6" x14ac:dyDescent="0.75">
      <c r="A136">
        <v>2025</v>
      </c>
      <c r="B136" t="s">
        <v>52</v>
      </c>
      <c r="C136" t="s">
        <v>39</v>
      </c>
      <c r="D136" s="1">
        <v>1072</v>
      </c>
      <c r="E136" s="1">
        <v>43135</v>
      </c>
      <c r="F136" s="2">
        <v>53285</v>
      </c>
    </row>
    <row r="137" spans="1:6" x14ac:dyDescent="0.75">
      <c r="A137">
        <v>2025</v>
      </c>
      <c r="B137" t="s">
        <v>52</v>
      </c>
      <c r="C137" t="s">
        <v>40</v>
      </c>
      <c r="D137" s="1">
        <v>7620</v>
      </c>
      <c r="E137" s="1">
        <v>334972</v>
      </c>
      <c r="F137" s="2">
        <v>63122</v>
      </c>
    </row>
    <row r="138" spans="1:6" x14ac:dyDescent="0.75">
      <c r="A138">
        <v>2025</v>
      </c>
      <c r="B138" t="s">
        <v>52</v>
      </c>
      <c r="C138" t="s">
        <v>41</v>
      </c>
      <c r="D138" s="1">
        <v>26257</v>
      </c>
      <c r="E138" s="1">
        <v>867807</v>
      </c>
      <c r="F138" s="2">
        <v>81206</v>
      </c>
    </row>
    <row r="139" spans="1:6" x14ac:dyDescent="0.75">
      <c r="A139">
        <v>2025</v>
      </c>
      <c r="B139" t="s">
        <v>52</v>
      </c>
      <c r="C139" t="s">
        <v>42</v>
      </c>
      <c r="D139" s="1">
        <v>4616</v>
      </c>
      <c r="E139" s="1">
        <v>135571</v>
      </c>
      <c r="F139" s="2">
        <v>61796</v>
      </c>
    </row>
    <row r="140" spans="1:6" x14ac:dyDescent="0.75">
      <c r="A140">
        <v>2025</v>
      </c>
      <c r="B140" t="s">
        <v>52</v>
      </c>
      <c r="C140" t="s">
        <v>43</v>
      </c>
      <c r="D140" s="1">
        <v>1107</v>
      </c>
      <c r="E140" s="1">
        <v>28176</v>
      </c>
      <c r="F140" s="2">
        <v>62352</v>
      </c>
    </row>
    <row r="141" spans="1:6" x14ac:dyDescent="0.75">
      <c r="A141">
        <v>2025</v>
      </c>
      <c r="B141" t="s">
        <v>52</v>
      </c>
      <c r="C141" t="s">
        <v>44</v>
      </c>
      <c r="D141" s="1">
        <v>7023</v>
      </c>
      <c r="E141" s="1">
        <v>232300</v>
      </c>
      <c r="F141" s="2">
        <v>63958</v>
      </c>
    </row>
    <row r="142" spans="1:6" x14ac:dyDescent="0.75">
      <c r="A142">
        <v>2025</v>
      </c>
      <c r="B142" t="s">
        <v>52</v>
      </c>
      <c r="C142" t="s">
        <v>45</v>
      </c>
      <c r="D142" s="1">
        <v>7882</v>
      </c>
      <c r="E142" s="1">
        <v>268553</v>
      </c>
      <c r="F142" s="2">
        <v>82000</v>
      </c>
    </row>
    <row r="143" spans="1:6" x14ac:dyDescent="0.75">
      <c r="A143">
        <v>2025</v>
      </c>
      <c r="B143" t="s">
        <v>52</v>
      </c>
      <c r="C143" t="s">
        <v>46</v>
      </c>
      <c r="D143" s="1">
        <v>1261</v>
      </c>
      <c r="E143" s="1">
        <v>44429</v>
      </c>
      <c r="F143" s="2">
        <v>62359</v>
      </c>
    </row>
    <row r="144" spans="1:6" x14ac:dyDescent="0.75">
      <c r="A144">
        <v>2025</v>
      </c>
      <c r="B144" t="s">
        <v>52</v>
      </c>
      <c r="C144" t="s">
        <v>47</v>
      </c>
      <c r="D144" s="1">
        <v>9214</v>
      </c>
      <c r="E144" s="1">
        <v>458262</v>
      </c>
      <c r="F144" s="2">
        <v>61039</v>
      </c>
    </row>
    <row r="145" spans="1:6" x14ac:dyDescent="0.75">
      <c r="A145">
        <v>2025</v>
      </c>
      <c r="B145" t="s">
        <v>52</v>
      </c>
      <c r="C145" t="s">
        <v>48</v>
      </c>
      <c r="D145">
        <v>620</v>
      </c>
      <c r="E145" s="1">
        <v>9580</v>
      </c>
      <c r="F145" s="2">
        <v>70308</v>
      </c>
    </row>
    <row r="146" spans="1:6" x14ac:dyDescent="0.75">
      <c r="A146">
        <v>2025</v>
      </c>
      <c r="B146" t="s">
        <v>54</v>
      </c>
      <c r="C146" t="s">
        <v>1</v>
      </c>
      <c r="D146" s="1">
        <v>32424</v>
      </c>
      <c r="E146" s="1">
        <v>372620</v>
      </c>
      <c r="F146" s="2">
        <v>45853</v>
      </c>
    </row>
    <row r="147" spans="1:6" x14ac:dyDescent="0.75">
      <c r="A147">
        <v>2025</v>
      </c>
      <c r="B147" t="s">
        <v>54</v>
      </c>
      <c r="C147" t="s">
        <v>2</v>
      </c>
      <c r="D147" s="1">
        <v>33859</v>
      </c>
      <c r="E147" s="1">
        <v>546143</v>
      </c>
      <c r="F147" s="2">
        <v>51498</v>
      </c>
    </row>
    <row r="148" spans="1:6" x14ac:dyDescent="0.75">
      <c r="A148">
        <v>2025</v>
      </c>
      <c r="B148" t="s">
        <v>54</v>
      </c>
      <c r="C148" t="s">
        <v>3</v>
      </c>
      <c r="D148" s="1">
        <v>21836</v>
      </c>
      <c r="E148" s="1">
        <v>244074</v>
      </c>
      <c r="F148" s="2">
        <v>45673</v>
      </c>
    </row>
    <row r="149" spans="1:6" x14ac:dyDescent="0.75">
      <c r="A149">
        <v>2025</v>
      </c>
      <c r="B149" t="s">
        <v>54</v>
      </c>
      <c r="C149" t="s">
        <v>4</v>
      </c>
      <c r="D149" s="1">
        <v>200632</v>
      </c>
      <c r="E149" s="1">
        <v>2888684</v>
      </c>
      <c r="F149" s="2">
        <v>58800</v>
      </c>
    </row>
    <row r="150" spans="1:6" x14ac:dyDescent="0.75">
      <c r="A150">
        <v>2025</v>
      </c>
      <c r="B150" t="s">
        <v>54</v>
      </c>
      <c r="C150" t="s">
        <v>5</v>
      </c>
      <c r="D150" s="1">
        <v>36421</v>
      </c>
      <c r="E150" s="1">
        <v>465887</v>
      </c>
      <c r="F150" s="2">
        <v>55719</v>
      </c>
    </row>
    <row r="151" spans="1:6" x14ac:dyDescent="0.75">
      <c r="A151">
        <v>2025</v>
      </c>
      <c r="B151" t="s">
        <v>54</v>
      </c>
      <c r="C151" t="s">
        <v>6</v>
      </c>
      <c r="D151" s="1">
        <v>24725</v>
      </c>
      <c r="E151" s="1">
        <v>276491</v>
      </c>
      <c r="F151" s="2">
        <v>55859</v>
      </c>
    </row>
    <row r="152" spans="1:6" x14ac:dyDescent="0.75">
      <c r="A152">
        <v>2025</v>
      </c>
      <c r="B152" t="s">
        <v>54</v>
      </c>
      <c r="C152" t="s">
        <v>7</v>
      </c>
      <c r="D152" s="1">
        <v>7050</v>
      </c>
      <c r="E152" s="1">
        <v>76267</v>
      </c>
      <c r="F152" s="2">
        <v>45667</v>
      </c>
    </row>
    <row r="153" spans="1:6" x14ac:dyDescent="0.75">
      <c r="A153">
        <v>2025</v>
      </c>
      <c r="B153" t="s">
        <v>54</v>
      </c>
      <c r="C153" t="s">
        <v>8</v>
      </c>
      <c r="D153" s="1">
        <v>142700</v>
      </c>
      <c r="E153" s="1">
        <v>1739110</v>
      </c>
      <c r="F153" s="2">
        <v>49391</v>
      </c>
    </row>
    <row r="154" spans="1:6" x14ac:dyDescent="0.75">
      <c r="A154">
        <v>2025</v>
      </c>
      <c r="B154" t="s">
        <v>54</v>
      </c>
      <c r="C154" t="s">
        <v>9</v>
      </c>
      <c r="D154" s="1">
        <v>64380</v>
      </c>
      <c r="E154" s="1">
        <v>913981</v>
      </c>
      <c r="F154" s="2">
        <v>52104</v>
      </c>
    </row>
    <row r="155" spans="1:6" x14ac:dyDescent="0.75">
      <c r="A155">
        <v>2025</v>
      </c>
      <c r="B155" t="s">
        <v>54</v>
      </c>
      <c r="C155" t="s">
        <v>10</v>
      </c>
      <c r="D155" s="1">
        <v>12742</v>
      </c>
      <c r="E155" s="1">
        <v>143264</v>
      </c>
      <c r="F155" s="2">
        <v>44610</v>
      </c>
    </row>
    <row r="156" spans="1:6" x14ac:dyDescent="0.75">
      <c r="A156">
        <v>2025</v>
      </c>
      <c r="B156" t="s">
        <v>54</v>
      </c>
      <c r="C156" t="s">
        <v>11</v>
      </c>
      <c r="D156" s="1">
        <v>78196</v>
      </c>
      <c r="E156" s="1">
        <v>1140749</v>
      </c>
      <c r="F156" s="2">
        <v>55780</v>
      </c>
    </row>
    <row r="157" spans="1:6" x14ac:dyDescent="0.75">
      <c r="A157">
        <v>2025</v>
      </c>
      <c r="B157" t="s">
        <v>54</v>
      </c>
      <c r="C157" t="s">
        <v>12</v>
      </c>
      <c r="D157" s="1">
        <v>40846</v>
      </c>
      <c r="E157" s="1">
        <v>583686</v>
      </c>
      <c r="F157" s="2">
        <v>45931</v>
      </c>
    </row>
    <row r="158" spans="1:6" x14ac:dyDescent="0.75">
      <c r="A158">
        <v>2025</v>
      </c>
      <c r="B158" t="s">
        <v>54</v>
      </c>
      <c r="C158" t="s">
        <v>13</v>
      </c>
      <c r="D158" s="1">
        <v>23479</v>
      </c>
      <c r="E158" s="1">
        <v>298376</v>
      </c>
      <c r="F158" s="2">
        <v>44146</v>
      </c>
    </row>
    <row r="159" spans="1:6" x14ac:dyDescent="0.75">
      <c r="A159">
        <v>2025</v>
      </c>
      <c r="B159" t="s">
        <v>54</v>
      </c>
      <c r="C159" t="s">
        <v>14</v>
      </c>
      <c r="D159" s="1">
        <v>19497</v>
      </c>
      <c r="E159" s="1">
        <v>255575</v>
      </c>
      <c r="F159" s="2">
        <v>46012</v>
      </c>
    </row>
    <row r="160" spans="1:6" x14ac:dyDescent="0.75">
      <c r="A160">
        <v>2025</v>
      </c>
      <c r="B160" t="s">
        <v>54</v>
      </c>
      <c r="C160" t="s">
        <v>15</v>
      </c>
      <c r="D160" s="1">
        <v>28266</v>
      </c>
      <c r="E160" s="1">
        <v>393361</v>
      </c>
      <c r="F160" s="2">
        <v>46839</v>
      </c>
    </row>
    <row r="161" spans="1:6" x14ac:dyDescent="0.75">
      <c r="A161">
        <v>2025</v>
      </c>
      <c r="B161" t="s">
        <v>54</v>
      </c>
      <c r="C161" t="s">
        <v>16</v>
      </c>
      <c r="D161" s="1">
        <v>31210</v>
      </c>
      <c r="E161" s="1">
        <v>358336</v>
      </c>
      <c r="F161" s="2">
        <v>46029</v>
      </c>
    </row>
    <row r="162" spans="1:6" x14ac:dyDescent="0.75">
      <c r="A162">
        <v>2025</v>
      </c>
      <c r="B162" t="s">
        <v>54</v>
      </c>
      <c r="C162" t="s">
        <v>17</v>
      </c>
      <c r="D162" s="1">
        <v>10546</v>
      </c>
      <c r="E162" s="1">
        <v>111483</v>
      </c>
      <c r="F162" s="2">
        <v>43084</v>
      </c>
    </row>
    <row r="163" spans="1:6" x14ac:dyDescent="0.75">
      <c r="A163">
        <v>2025</v>
      </c>
      <c r="B163" t="s">
        <v>54</v>
      </c>
      <c r="C163" t="s">
        <v>18</v>
      </c>
      <c r="D163" s="1">
        <v>31685</v>
      </c>
      <c r="E163" s="1">
        <v>441680</v>
      </c>
      <c r="F163" s="2">
        <v>50800</v>
      </c>
    </row>
    <row r="164" spans="1:6" x14ac:dyDescent="0.75">
      <c r="A164">
        <v>2025</v>
      </c>
      <c r="B164" t="s">
        <v>54</v>
      </c>
      <c r="C164" t="s">
        <v>19</v>
      </c>
      <c r="D164" s="1">
        <v>40751</v>
      </c>
      <c r="E164" s="1">
        <v>526726</v>
      </c>
      <c r="F164" s="2">
        <v>61082</v>
      </c>
    </row>
    <row r="165" spans="1:6" x14ac:dyDescent="0.75">
      <c r="A165">
        <v>2025</v>
      </c>
      <c r="B165" t="s">
        <v>54</v>
      </c>
      <c r="C165" t="s">
        <v>20</v>
      </c>
      <c r="D165" s="1">
        <v>55149</v>
      </c>
      <c r="E165" s="1">
        <v>745824</v>
      </c>
      <c r="F165" s="2">
        <v>51869</v>
      </c>
    </row>
    <row r="166" spans="1:6" x14ac:dyDescent="0.75">
      <c r="A166">
        <v>2025</v>
      </c>
      <c r="B166" t="s">
        <v>54</v>
      </c>
      <c r="C166" t="s">
        <v>21</v>
      </c>
      <c r="D166" s="1">
        <v>37255</v>
      </c>
      <c r="E166" s="1">
        <v>499190</v>
      </c>
      <c r="F166" s="2">
        <v>53843</v>
      </c>
    </row>
    <row r="167" spans="1:6" x14ac:dyDescent="0.75">
      <c r="A167">
        <v>2025</v>
      </c>
      <c r="B167" t="s">
        <v>54</v>
      </c>
      <c r="C167" t="s">
        <v>22</v>
      </c>
      <c r="D167" s="1">
        <v>19589</v>
      </c>
      <c r="E167" s="1">
        <v>226629</v>
      </c>
      <c r="F167" s="2">
        <v>40176</v>
      </c>
    </row>
    <row r="168" spans="1:6" x14ac:dyDescent="0.75">
      <c r="A168">
        <v>2025</v>
      </c>
      <c r="B168" t="s">
        <v>54</v>
      </c>
      <c r="C168" t="s">
        <v>23</v>
      </c>
      <c r="D168" s="1">
        <v>39646</v>
      </c>
      <c r="E168" s="1">
        <v>519916</v>
      </c>
      <c r="F168" s="2">
        <v>46520</v>
      </c>
    </row>
    <row r="169" spans="1:6" x14ac:dyDescent="0.75">
      <c r="A169">
        <v>2025</v>
      </c>
      <c r="B169" t="s">
        <v>54</v>
      </c>
      <c r="C169" t="s">
        <v>24</v>
      </c>
      <c r="D169" s="1">
        <v>9323</v>
      </c>
      <c r="E169" s="1">
        <v>89315</v>
      </c>
      <c r="F169" s="2">
        <v>43996</v>
      </c>
    </row>
    <row r="170" spans="1:6" x14ac:dyDescent="0.75">
      <c r="A170">
        <v>2025</v>
      </c>
      <c r="B170" t="s">
        <v>54</v>
      </c>
      <c r="C170" t="s">
        <v>25</v>
      </c>
      <c r="D170" s="1">
        <v>14748</v>
      </c>
      <c r="E170" s="1">
        <v>182745</v>
      </c>
      <c r="F170" s="2">
        <v>44095</v>
      </c>
    </row>
    <row r="171" spans="1:6" x14ac:dyDescent="0.75">
      <c r="A171">
        <v>2025</v>
      </c>
      <c r="B171" t="s">
        <v>54</v>
      </c>
      <c r="C171" t="s">
        <v>26</v>
      </c>
      <c r="D171" s="1">
        <v>15481</v>
      </c>
      <c r="E171" s="1">
        <v>252623</v>
      </c>
      <c r="F171" s="2">
        <v>48334</v>
      </c>
    </row>
    <row r="172" spans="1:6" x14ac:dyDescent="0.75">
      <c r="A172">
        <v>2025</v>
      </c>
      <c r="B172" t="s">
        <v>54</v>
      </c>
      <c r="C172" t="s">
        <v>27</v>
      </c>
      <c r="D172" s="1">
        <v>12460</v>
      </c>
      <c r="E172" s="1">
        <v>133196</v>
      </c>
      <c r="F172" s="2">
        <v>54425</v>
      </c>
    </row>
    <row r="173" spans="1:6" x14ac:dyDescent="0.75">
      <c r="A173">
        <v>2025</v>
      </c>
      <c r="B173" t="s">
        <v>54</v>
      </c>
      <c r="C173" t="s">
        <v>28</v>
      </c>
      <c r="D173" s="1">
        <v>54606</v>
      </c>
      <c r="E173" s="1">
        <v>820259</v>
      </c>
      <c r="F173" s="2">
        <v>58675</v>
      </c>
    </row>
    <row r="174" spans="1:6" x14ac:dyDescent="0.75">
      <c r="A174">
        <v>2025</v>
      </c>
      <c r="B174" t="s">
        <v>54</v>
      </c>
      <c r="C174" t="s">
        <v>29</v>
      </c>
      <c r="D174" s="1">
        <v>10949</v>
      </c>
      <c r="E174" s="1">
        <v>130261</v>
      </c>
      <c r="F174" s="2">
        <v>41086</v>
      </c>
    </row>
    <row r="175" spans="1:6" x14ac:dyDescent="0.75">
      <c r="A175">
        <v>2025</v>
      </c>
      <c r="B175" t="s">
        <v>54</v>
      </c>
      <c r="C175" t="s">
        <v>30</v>
      </c>
      <c r="D175" s="1">
        <v>118946</v>
      </c>
      <c r="E175" s="1">
        <v>1366746</v>
      </c>
      <c r="F175" s="2">
        <v>57939</v>
      </c>
    </row>
    <row r="176" spans="1:6" x14ac:dyDescent="0.75">
      <c r="A176">
        <v>2025</v>
      </c>
      <c r="B176" t="s">
        <v>54</v>
      </c>
      <c r="C176" t="s">
        <v>31</v>
      </c>
      <c r="D176" s="1">
        <v>63455</v>
      </c>
      <c r="E176" s="1">
        <v>844765</v>
      </c>
      <c r="F176" s="2">
        <v>47171</v>
      </c>
    </row>
    <row r="177" spans="1:6" x14ac:dyDescent="0.75">
      <c r="A177">
        <v>2025</v>
      </c>
      <c r="B177" t="s">
        <v>54</v>
      </c>
      <c r="C177" t="s">
        <v>32</v>
      </c>
      <c r="D177" s="1">
        <v>7745</v>
      </c>
      <c r="E177" s="1">
        <v>86570</v>
      </c>
      <c r="F177" s="2">
        <v>52657</v>
      </c>
    </row>
    <row r="178" spans="1:6" x14ac:dyDescent="0.75">
      <c r="A178">
        <v>2025</v>
      </c>
      <c r="B178" t="s">
        <v>54</v>
      </c>
      <c r="C178" t="s">
        <v>33</v>
      </c>
      <c r="D178" s="1">
        <v>68987</v>
      </c>
      <c r="E178" s="1">
        <v>998325</v>
      </c>
      <c r="F178" s="2">
        <v>48088</v>
      </c>
    </row>
    <row r="179" spans="1:6" x14ac:dyDescent="0.75">
      <c r="A179">
        <v>2025</v>
      </c>
      <c r="B179" t="s">
        <v>54</v>
      </c>
      <c r="C179" t="s">
        <v>34</v>
      </c>
      <c r="D179" s="1">
        <v>23912</v>
      </c>
      <c r="E179" s="1">
        <v>301828</v>
      </c>
      <c r="F179" s="2">
        <v>43388</v>
      </c>
    </row>
    <row r="180" spans="1:6" x14ac:dyDescent="0.75">
      <c r="A180">
        <v>2025</v>
      </c>
      <c r="B180" t="s">
        <v>54</v>
      </c>
      <c r="C180" t="s">
        <v>35</v>
      </c>
      <c r="D180" s="1">
        <v>26241</v>
      </c>
      <c r="E180" s="1">
        <v>346783</v>
      </c>
      <c r="F180" s="2">
        <v>49251</v>
      </c>
    </row>
    <row r="181" spans="1:6" x14ac:dyDescent="0.75">
      <c r="A181">
        <v>2025</v>
      </c>
      <c r="B181" t="s">
        <v>54</v>
      </c>
      <c r="C181" t="s">
        <v>36</v>
      </c>
      <c r="D181" s="1">
        <v>73985</v>
      </c>
      <c r="E181" s="1">
        <v>1054388</v>
      </c>
      <c r="F181" s="2">
        <v>49535</v>
      </c>
    </row>
    <row r="182" spans="1:6" x14ac:dyDescent="0.75">
      <c r="A182">
        <v>2025</v>
      </c>
      <c r="B182" t="s">
        <v>54</v>
      </c>
      <c r="C182" t="s">
        <v>37</v>
      </c>
      <c r="D182" s="1">
        <v>7816</v>
      </c>
      <c r="E182" s="1">
        <v>70764</v>
      </c>
      <c r="F182" s="2">
        <v>49493</v>
      </c>
    </row>
    <row r="183" spans="1:6" x14ac:dyDescent="0.75">
      <c r="A183">
        <v>2025</v>
      </c>
      <c r="B183" t="s">
        <v>54</v>
      </c>
      <c r="C183" t="s">
        <v>38</v>
      </c>
      <c r="D183" s="1">
        <v>31674</v>
      </c>
      <c r="E183" s="1">
        <v>400537</v>
      </c>
      <c r="F183" s="2">
        <v>43717</v>
      </c>
    </row>
    <row r="184" spans="1:6" x14ac:dyDescent="0.75">
      <c r="A184">
        <v>2025</v>
      </c>
      <c r="B184" t="s">
        <v>54</v>
      </c>
      <c r="C184" t="s">
        <v>39</v>
      </c>
      <c r="D184" s="1">
        <v>8068</v>
      </c>
      <c r="E184" s="1">
        <v>83179</v>
      </c>
      <c r="F184" s="2">
        <v>44162</v>
      </c>
    </row>
    <row r="185" spans="1:6" x14ac:dyDescent="0.75">
      <c r="A185">
        <v>2025</v>
      </c>
      <c r="B185" t="s">
        <v>54</v>
      </c>
      <c r="C185" t="s">
        <v>40</v>
      </c>
      <c r="D185" s="1">
        <v>40806</v>
      </c>
      <c r="E185" s="1">
        <v>627005</v>
      </c>
      <c r="F185" s="2">
        <v>50111</v>
      </c>
    </row>
    <row r="186" spans="1:6" x14ac:dyDescent="0.75">
      <c r="A186">
        <v>2025</v>
      </c>
      <c r="B186" t="s">
        <v>54</v>
      </c>
      <c r="C186" t="s">
        <v>41</v>
      </c>
      <c r="D186" s="1">
        <v>152438</v>
      </c>
      <c r="E186" s="1">
        <v>2453267</v>
      </c>
      <c r="F186" s="2">
        <v>56485</v>
      </c>
    </row>
    <row r="187" spans="1:6" x14ac:dyDescent="0.75">
      <c r="A187">
        <v>2025</v>
      </c>
      <c r="B187" t="s">
        <v>54</v>
      </c>
      <c r="C187" t="s">
        <v>42</v>
      </c>
      <c r="D187" s="1">
        <v>20535</v>
      </c>
      <c r="E187" s="1">
        <v>288623</v>
      </c>
      <c r="F187" s="2">
        <v>49353</v>
      </c>
    </row>
    <row r="188" spans="1:6" x14ac:dyDescent="0.75">
      <c r="A188">
        <v>2025</v>
      </c>
      <c r="B188" t="s">
        <v>54</v>
      </c>
      <c r="C188" t="s">
        <v>43</v>
      </c>
      <c r="D188" s="1">
        <v>5003</v>
      </c>
      <c r="E188" s="1">
        <v>49851</v>
      </c>
      <c r="F188" s="2">
        <v>45701</v>
      </c>
    </row>
    <row r="189" spans="1:6" x14ac:dyDescent="0.75">
      <c r="A189">
        <v>2025</v>
      </c>
      <c r="B189" t="s">
        <v>54</v>
      </c>
      <c r="C189" t="s">
        <v>44</v>
      </c>
      <c r="D189" s="1">
        <v>42564</v>
      </c>
      <c r="E189" s="1">
        <v>627729</v>
      </c>
      <c r="F189" s="2">
        <v>48371</v>
      </c>
    </row>
    <row r="190" spans="1:6" x14ac:dyDescent="0.75">
      <c r="A190">
        <v>2025</v>
      </c>
      <c r="B190" t="s">
        <v>54</v>
      </c>
      <c r="C190" t="s">
        <v>45</v>
      </c>
      <c r="D190" s="1">
        <v>38688</v>
      </c>
      <c r="E190" s="1">
        <v>615415</v>
      </c>
      <c r="F190" s="2">
        <v>74160</v>
      </c>
    </row>
    <row r="191" spans="1:6" x14ac:dyDescent="0.75">
      <c r="A191">
        <v>2025</v>
      </c>
      <c r="B191" t="s">
        <v>54</v>
      </c>
      <c r="C191" t="s">
        <v>46</v>
      </c>
      <c r="D191" s="1">
        <v>10611</v>
      </c>
      <c r="E191" s="1">
        <v>118677</v>
      </c>
      <c r="F191" s="2">
        <v>42085</v>
      </c>
    </row>
    <row r="192" spans="1:6" x14ac:dyDescent="0.75">
      <c r="A192">
        <v>2025</v>
      </c>
      <c r="B192" t="s">
        <v>54</v>
      </c>
      <c r="C192" t="s">
        <v>47</v>
      </c>
      <c r="D192" s="1">
        <v>35812</v>
      </c>
      <c r="E192" s="1">
        <v>517930</v>
      </c>
      <c r="F192" s="2">
        <v>45165</v>
      </c>
    </row>
    <row r="193" spans="1:6" x14ac:dyDescent="0.75">
      <c r="A193">
        <v>2025</v>
      </c>
      <c r="B193" t="s">
        <v>54</v>
      </c>
      <c r="C193" t="s">
        <v>48</v>
      </c>
      <c r="D193" s="1">
        <v>4840</v>
      </c>
      <c r="E193" s="1">
        <v>48509</v>
      </c>
      <c r="F193" s="2">
        <v>44879</v>
      </c>
    </row>
    <row r="194" spans="1:6" x14ac:dyDescent="0.75">
      <c r="A194">
        <v>2025</v>
      </c>
      <c r="B194" t="s">
        <v>53</v>
      </c>
      <c r="C194" t="s">
        <v>1</v>
      </c>
      <c r="D194" s="1">
        <v>2566</v>
      </c>
      <c r="E194" s="1">
        <v>19310</v>
      </c>
      <c r="F194" s="2">
        <v>69393</v>
      </c>
    </row>
    <row r="195" spans="1:6" x14ac:dyDescent="0.75">
      <c r="A195">
        <v>2025</v>
      </c>
      <c r="B195" t="s">
        <v>53</v>
      </c>
      <c r="C195" t="s">
        <v>2</v>
      </c>
      <c r="D195" s="1">
        <v>4017</v>
      </c>
      <c r="E195" s="1">
        <v>45513</v>
      </c>
      <c r="F195" s="2">
        <v>90871</v>
      </c>
    </row>
    <row r="196" spans="1:6" x14ac:dyDescent="0.75">
      <c r="A196">
        <v>2025</v>
      </c>
      <c r="B196" t="s">
        <v>53</v>
      </c>
      <c r="C196" t="s">
        <v>3</v>
      </c>
      <c r="D196" s="1">
        <v>1536</v>
      </c>
      <c r="E196" s="1">
        <v>11509</v>
      </c>
      <c r="F196" s="2">
        <v>69820</v>
      </c>
    </row>
    <row r="197" spans="1:6" x14ac:dyDescent="0.75">
      <c r="A197">
        <v>2025</v>
      </c>
      <c r="B197" t="s">
        <v>53</v>
      </c>
      <c r="C197" t="s">
        <v>4</v>
      </c>
      <c r="D197" s="1">
        <v>29491</v>
      </c>
      <c r="E197" s="1">
        <v>527549</v>
      </c>
      <c r="F197" s="2">
        <v>217892</v>
      </c>
    </row>
    <row r="198" spans="1:6" x14ac:dyDescent="0.75">
      <c r="A198">
        <v>2025</v>
      </c>
      <c r="B198" t="s">
        <v>53</v>
      </c>
      <c r="C198" t="s">
        <v>5</v>
      </c>
      <c r="D198" s="1">
        <v>4548</v>
      </c>
      <c r="E198" s="1">
        <v>74867</v>
      </c>
      <c r="F198" s="2">
        <v>123495</v>
      </c>
    </row>
    <row r="199" spans="1:6" x14ac:dyDescent="0.75">
      <c r="A199">
        <v>2025</v>
      </c>
      <c r="B199" t="s">
        <v>53</v>
      </c>
      <c r="C199" t="s">
        <v>6</v>
      </c>
      <c r="D199" s="1">
        <v>2880</v>
      </c>
      <c r="E199" s="1">
        <v>29237</v>
      </c>
      <c r="F199" s="2">
        <v>138917</v>
      </c>
    </row>
    <row r="200" spans="1:6" x14ac:dyDescent="0.75">
      <c r="A200">
        <v>2025</v>
      </c>
      <c r="B200" t="s">
        <v>53</v>
      </c>
      <c r="C200" t="s">
        <v>7</v>
      </c>
      <c r="D200">
        <v>549</v>
      </c>
      <c r="E200" s="1">
        <v>3622</v>
      </c>
      <c r="F200" s="2">
        <v>78966</v>
      </c>
    </row>
    <row r="201" spans="1:6" x14ac:dyDescent="0.75">
      <c r="A201">
        <v>2025</v>
      </c>
      <c r="B201" t="s">
        <v>53</v>
      </c>
      <c r="C201" t="s">
        <v>8</v>
      </c>
      <c r="D201" s="1">
        <v>12659</v>
      </c>
      <c r="E201" s="1">
        <v>130298</v>
      </c>
      <c r="F201" s="2">
        <v>93350</v>
      </c>
    </row>
    <row r="202" spans="1:6" x14ac:dyDescent="0.75">
      <c r="A202">
        <v>2025</v>
      </c>
      <c r="B202" t="s">
        <v>53</v>
      </c>
      <c r="C202" t="s">
        <v>9</v>
      </c>
      <c r="D202" s="1">
        <v>6010</v>
      </c>
      <c r="E202" s="1">
        <v>109190</v>
      </c>
      <c r="F202" s="2">
        <v>108735</v>
      </c>
    </row>
    <row r="203" spans="1:6" x14ac:dyDescent="0.75">
      <c r="A203">
        <v>2025</v>
      </c>
      <c r="B203" t="s">
        <v>53</v>
      </c>
      <c r="C203" t="s">
        <v>10</v>
      </c>
      <c r="D203" s="1">
        <v>1385</v>
      </c>
      <c r="E203" s="1">
        <v>7346</v>
      </c>
      <c r="F203" s="2">
        <v>64408</v>
      </c>
    </row>
    <row r="204" spans="1:6" x14ac:dyDescent="0.75">
      <c r="A204">
        <v>2025</v>
      </c>
      <c r="B204" t="s">
        <v>53</v>
      </c>
      <c r="C204" t="s">
        <v>11</v>
      </c>
      <c r="D204" s="1">
        <v>7162</v>
      </c>
      <c r="E204" s="1">
        <v>87520</v>
      </c>
      <c r="F204" s="2">
        <v>110059</v>
      </c>
    </row>
    <row r="205" spans="1:6" x14ac:dyDescent="0.75">
      <c r="A205">
        <v>2025</v>
      </c>
      <c r="B205" t="s">
        <v>53</v>
      </c>
      <c r="C205" t="s">
        <v>12</v>
      </c>
      <c r="D205" s="1">
        <v>2521</v>
      </c>
      <c r="E205" s="1">
        <v>26075</v>
      </c>
      <c r="F205" s="2">
        <v>67191</v>
      </c>
    </row>
    <row r="206" spans="1:6" x14ac:dyDescent="0.75">
      <c r="A206">
        <v>2025</v>
      </c>
      <c r="B206" t="s">
        <v>53</v>
      </c>
      <c r="C206" t="s">
        <v>13</v>
      </c>
      <c r="D206" s="1">
        <v>1811</v>
      </c>
      <c r="E206" s="1">
        <v>19135</v>
      </c>
      <c r="F206" s="2">
        <v>66858</v>
      </c>
    </row>
    <row r="207" spans="1:6" x14ac:dyDescent="0.75">
      <c r="A207">
        <v>2025</v>
      </c>
      <c r="B207" t="s">
        <v>53</v>
      </c>
      <c r="C207" t="s">
        <v>14</v>
      </c>
      <c r="D207" s="1">
        <v>1561</v>
      </c>
      <c r="E207" s="1">
        <v>16734</v>
      </c>
      <c r="F207" s="2">
        <v>73749</v>
      </c>
    </row>
    <row r="208" spans="1:6" x14ac:dyDescent="0.75">
      <c r="A208">
        <v>2025</v>
      </c>
      <c r="B208" t="s">
        <v>53</v>
      </c>
      <c r="C208" t="s">
        <v>15</v>
      </c>
      <c r="D208" s="1">
        <v>2111</v>
      </c>
      <c r="E208" s="1">
        <v>20268</v>
      </c>
      <c r="F208" s="2">
        <v>63462</v>
      </c>
    </row>
    <row r="209" spans="1:6" x14ac:dyDescent="0.75">
      <c r="A209">
        <v>2025</v>
      </c>
      <c r="B209" t="s">
        <v>53</v>
      </c>
      <c r="C209" t="s">
        <v>16</v>
      </c>
      <c r="D209" s="1">
        <v>1935</v>
      </c>
      <c r="E209" s="1">
        <v>18712</v>
      </c>
      <c r="F209" s="2">
        <v>65700</v>
      </c>
    </row>
    <row r="210" spans="1:6" x14ac:dyDescent="0.75">
      <c r="A210">
        <v>2025</v>
      </c>
      <c r="B210" t="s">
        <v>53</v>
      </c>
      <c r="C210" t="s">
        <v>17</v>
      </c>
      <c r="D210">
        <v>916</v>
      </c>
      <c r="E210" s="1">
        <v>6415</v>
      </c>
      <c r="F210" s="2">
        <v>64265</v>
      </c>
    </row>
    <row r="211" spans="1:6" x14ac:dyDescent="0.75">
      <c r="A211">
        <v>2025</v>
      </c>
      <c r="B211" t="s">
        <v>53</v>
      </c>
      <c r="C211" t="s">
        <v>18</v>
      </c>
      <c r="D211" s="1">
        <v>2855</v>
      </c>
      <c r="E211" s="1">
        <v>33029</v>
      </c>
      <c r="F211" s="2">
        <v>110569</v>
      </c>
    </row>
    <row r="212" spans="1:6" x14ac:dyDescent="0.75">
      <c r="A212">
        <v>2025</v>
      </c>
      <c r="B212" t="s">
        <v>53</v>
      </c>
      <c r="C212" t="s">
        <v>19</v>
      </c>
      <c r="D212" s="1">
        <v>6073</v>
      </c>
      <c r="E212" s="1">
        <v>89231</v>
      </c>
      <c r="F212" s="2">
        <v>146746</v>
      </c>
    </row>
    <row r="213" spans="1:6" x14ac:dyDescent="0.75">
      <c r="A213">
        <v>2025</v>
      </c>
      <c r="B213" t="s">
        <v>53</v>
      </c>
      <c r="C213" t="s">
        <v>20</v>
      </c>
      <c r="D213" s="1">
        <v>7671</v>
      </c>
      <c r="E213" s="1">
        <v>50511</v>
      </c>
      <c r="F213" s="2">
        <v>88745</v>
      </c>
    </row>
    <row r="214" spans="1:6" x14ac:dyDescent="0.75">
      <c r="A214">
        <v>2025</v>
      </c>
      <c r="B214" t="s">
        <v>53</v>
      </c>
      <c r="C214" t="s">
        <v>21</v>
      </c>
      <c r="D214" s="1">
        <v>4304</v>
      </c>
      <c r="E214" s="1">
        <v>43145</v>
      </c>
      <c r="F214" s="2">
        <v>92292</v>
      </c>
    </row>
    <row r="215" spans="1:6" x14ac:dyDescent="0.75">
      <c r="A215">
        <v>2025</v>
      </c>
      <c r="B215" t="s">
        <v>53</v>
      </c>
      <c r="C215" t="s">
        <v>22</v>
      </c>
      <c r="D215">
        <v>964</v>
      </c>
      <c r="E215" s="1">
        <v>9629</v>
      </c>
      <c r="F215" s="2">
        <v>54301</v>
      </c>
    </row>
    <row r="216" spans="1:6" x14ac:dyDescent="0.75">
      <c r="A216">
        <v>2025</v>
      </c>
      <c r="B216" t="s">
        <v>53</v>
      </c>
      <c r="C216" t="s">
        <v>23</v>
      </c>
      <c r="D216" s="1">
        <v>3562</v>
      </c>
      <c r="E216" s="1">
        <v>43675</v>
      </c>
      <c r="F216" s="2">
        <v>89327</v>
      </c>
    </row>
    <row r="217" spans="1:6" x14ac:dyDescent="0.75">
      <c r="A217">
        <v>2025</v>
      </c>
      <c r="B217" t="s">
        <v>53</v>
      </c>
      <c r="C217" t="s">
        <v>24</v>
      </c>
      <c r="D217">
        <v>856</v>
      </c>
      <c r="E217" s="1">
        <v>5797</v>
      </c>
      <c r="F217" s="2">
        <v>65673</v>
      </c>
    </row>
    <row r="218" spans="1:6" x14ac:dyDescent="0.75">
      <c r="A218">
        <v>2025</v>
      </c>
      <c r="B218" t="s">
        <v>53</v>
      </c>
      <c r="C218" t="s">
        <v>25</v>
      </c>
      <c r="D218" s="1">
        <v>1071</v>
      </c>
      <c r="E218" s="1">
        <v>16165</v>
      </c>
      <c r="F218" s="2">
        <v>76361</v>
      </c>
    </row>
    <row r="219" spans="1:6" x14ac:dyDescent="0.75">
      <c r="A219">
        <v>2025</v>
      </c>
      <c r="B219" t="s">
        <v>53</v>
      </c>
      <c r="C219" t="s">
        <v>26</v>
      </c>
      <c r="D219" s="1">
        <v>1609</v>
      </c>
      <c r="E219" s="1">
        <v>13306</v>
      </c>
      <c r="F219" s="2">
        <v>88353</v>
      </c>
    </row>
    <row r="220" spans="1:6" x14ac:dyDescent="0.75">
      <c r="A220">
        <v>2025</v>
      </c>
      <c r="B220" t="s">
        <v>53</v>
      </c>
      <c r="C220" t="s">
        <v>27</v>
      </c>
      <c r="D220" s="1">
        <v>1168</v>
      </c>
      <c r="E220" s="1">
        <v>11735</v>
      </c>
      <c r="F220" s="2">
        <v>107194</v>
      </c>
    </row>
    <row r="221" spans="1:6" x14ac:dyDescent="0.75">
      <c r="A221">
        <v>2025</v>
      </c>
      <c r="B221" t="s">
        <v>53</v>
      </c>
      <c r="C221" t="s">
        <v>28</v>
      </c>
      <c r="D221" s="1">
        <v>3965</v>
      </c>
      <c r="E221" s="1">
        <v>67885</v>
      </c>
      <c r="F221" s="2">
        <v>130541</v>
      </c>
    </row>
    <row r="222" spans="1:6" x14ac:dyDescent="0.75">
      <c r="A222">
        <v>2025</v>
      </c>
      <c r="B222" t="s">
        <v>53</v>
      </c>
      <c r="C222" t="s">
        <v>29</v>
      </c>
      <c r="D222" s="1">
        <v>1108</v>
      </c>
      <c r="E222" s="1">
        <v>9076</v>
      </c>
      <c r="F222" s="2">
        <v>62393</v>
      </c>
    </row>
    <row r="223" spans="1:6" x14ac:dyDescent="0.75">
      <c r="A223">
        <v>2025</v>
      </c>
      <c r="B223" t="s">
        <v>53</v>
      </c>
      <c r="C223" t="s">
        <v>30</v>
      </c>
      <c r="D223" s="1">
        <v>14380</v>
      </c>
      <c r="E223" s="1">
        <v>267749</v>
      </c>
      <c r="F223" s="2">
        <v>154357</v>
      </c>
    </row>
    <row r="224" spans="1:6" x14ac:dyDescent="0.75">
      <c r="A224">
        <v>2025</v>
      </c>
      <c r="B224" t="s">
        <v>53</v>
      </c>
      <c r="C224" t="s">
        <v>31</v>
      </c>
      <c r="D224" s="1">
        <v>6302</v>
      </c>
      <c r="E224" s="1">
        <v>73440</v>
      </c>
      <c r="F224" s="2">
        <v>96207</v>
      </c>
    </row>
    <row r="225" spans="1:6" x14ac:dyDescent="0.75">
      <c r="A225">
        <v>2025</v>
      </c>
      <c r="B225" t="s">
        <v>53</v>
      </c>
      <c r="C225" t="s">
        <v>32</v>
      </c>
      <c r="D225">
        <v>417</v>
      </c>
      <c r="E225" s="1">
        <v>5780</v>
      </c>
      <c r="F225" s="2">
        <v>79624</v>
      </c>
    </row>
    <row r="226" spans="1:6" x14ac:dyDescent="0.75">
      <c r="A226">
        <v>2025</v>
      </c>
      <c r="B226" t="s">
        <v>53</v>
      </c>
      <c r="C226" t="s">
        <v>33</v>
      </c>
      <c r="D226" s="1">
        <v>5303</v>
      </c>
      <c r="E226" s="1">
        <v>63865</v>
      </c>
      <c r="F226" s="2">
        <v>80052</v>
      </c>
    </row>
    <row r="227" spans="1:6" x14ac:dyDescent="0.75">
      <c r="A227">
        <v>2025</v>
      </c>
      <c r="B227" t="s">
        <v>53</v>
      </c>
      <c r="C227" t="s">
        <v>34</v>
      </c>
      <c r="D227" s="1">
        <v>1572</v>
      </c>
      <c r="E227" s="1">
        <v>18256</v>
      </c>
      <c r="F227" s="2">
        <v>63710</v>
      </c>
    </row>
    <row r="228" spans="1:6" x14ac:dyDescent="0.75">
      <c r="A228">
        <v>2025</v>
      </c>
      <c r="B228" t="s">
        <v>53</v>
      </c>
      <c r="C228" t="s">
        <v>35</v>
      </c>
      <c r="D228" s="1">
        <v>4605</v>
      </c>
      <c r="E228" s="1">
        <v>33218</v>
      </c>
      <c r="F228" s="2">
        <v>101737</v>
      </c>
    </row>
    <row r="229" spans="1:6" x14ac:dyDescent="0.75">
      <c r="A229">
        <v>2025</v>
      </c>
      <c r="B229" t="s">
        <v>53</v>
      </c>
      <c r="C229" t="s">
        <v>36</v>
      </c>
      <c r="D229" s="1">
        <v>5891</v>
      </c>
      <c r="E229" s="1">
        <v>82872</v>
      </c>
      <c r="F229" s="2">
        <v>107388</v>
      </c>
    </row>
    <row r="230" spans="1:6" x14ac:dyDescent="0.75">
      <c r="A230">
        <v>2025</v>
      </c>
      <c r="B230" t="s">
        <v>53</v>
      </c>
      <c r="C230" t="s">
        <v>37</v>
      </c>
      <c r="D230">
        <v>762</v>
      </c>
      <c r="E230" s="1">
        <v>5243</v>
      </c>
      <c r="F230" s="2">
        <v>87286</v>
      </c>
    </row>
    <row r="231" spans="1:6" x14ac:dyDescent="0.75">
      <c r="A231">
        <v>2025</v>
      </c>
      <c r="B231" t="s">
        <v>53</v>
      </c>
      <c r="C231" t="s">
        <v>38</v>
      </c>
      <c r="D231" s="1">
        <v>3216</v>
      </c>
      <c r="E231" s="1">
        <v>24744</v>
      </c>
      <c r="F231" s="2">
        <v>73562</v>
      </c>
    </row>
    <row r="232" spans="1:6" x14ac:dyDescent="0.75">
      <c r="A232">
        <v>2025</v>
      </c>
      <c r="B232" t="s">
        <v>53</v>
      </c>
      <c r="C232" t="s">
        <v>39</v>
      </c>
      <c r="D232">
        <v>606</v>
      </c>
      <c r="E232" s="1">
        <v>5074</v>
      </c>
      <c r="F232" s="2">
        <v>58069</v>
      </c>
    </row>
    <row r="233" spans="1:6" x14ac:dyDescent="0.75">
      <c r="A233">
        <v>2025</v>
      </c>
      <c r="B233" t="s">
        <v>53</v>
      </c>
      <c r="C233" t="s">
        <v>40</v>
      </c>
      <c r="D233" s="1">
        <v>4525</v>
      </c>
      <c r="E233" s="1">
        <v>42929</v>
      </c>
      <c r="F233" s="2">
        <v>81293</v>
      </c>
    </row>
    <row r="234" spans="1:6" x14ac:dyDescent="0.75">
      <c r="A234">
        <v>2025</v>
      </c>
      <c r="B234" t="s">
        <v>53</v>
      </c>
      <c r="C234" t="s">
        <v>41</v>
      </c>
      <c r="D234" s="1">
        <v>11822</v>
      </c>
      <c r="E234" s="1">
        <v>198521</v>
      </c>
      <c r="F234" s="2">
        <v>102835</v>
      </c>
    </row>
    <row r="235" spans="1:6" x14ac:dyDescent="0.75">
      <c r="A235">
        <v>2025</v>
      </c>
      <c r="B235" t="s">
        <v>53</v>
      </c>
      <c r="C235" t="s">
        <v>42</v>
      </c>
      <c r="D235" s="1">
        <v>3177</v>
      </c>
      <c r="E235" s="1">
        <v>37222</v>
      </c>
      <c r="F235" s="2">
        <v>96974</v>
      </c>
    </row>
    <row r="236" spans="1:6" x14ac:dyDescent="0.75">
      <c r="A236">
        <v>2025</v>
      </c>
      <c r="B236" t="s">
        <v>53</v>
      </c>
      <c r="C236" t="s">
        <v>43</v>
      </c>
      <c r="D236">
        <v>584</v>
      </c>
      <c r="E236" s="1">
        <v>3961</v>
      </c>
      <c r="F236" s="2">
        <v>68605</v>
      </c>
    </row>
    <row r="237" spans="1:6" x14ac:dyDescent="0.75">
      <c r="A237">
        <v>2025</v>
      </c>
      <c r="B237" t="s">
        <v>53</v>
      </c>
      <c r="C237" t="s">
        <v>44</v>
      </c>
      <c r="D237" s="1">
        <v>4875</v>
      </c>
      <c r="E237" s="1">
        <v>64840</v>
      </c>
      <c r="F237" s="2">
        <v>117848</v>
      </c>
    </row>
    <row r="238" spans="1:6" x14ac:dyDescent="0.75">
      <c r="A238">
        <v>2025</v>
      </c>
      <c r="B238" t="s">
        <v>53</v>
      </c>
      <c r="C238" t="s">
        <v>45</v>
      </c>
      <c r="D238" s="1">
        <v>5419</v>
      </c>
      <c r="E238" s="1">
        <v>148556</v>
      </c>
      <c r="F238" s="2">
        <v>242273</v>
      </c>
    </row>
    <row r="239" spans="1:6" x14ac:dyDescent="0.75">
      <c r="A239">
        <v>2025</v>
      </c>
      <c r="B239" t="s">
        <v>53</v>
      </c>
      <c r="C239" t="s">
        <v>46</v>
      </c>
      <c r="D239">
        <v>825</v>
      </c>
      <c r="E239" s="1">
        <v>7215</v>
      </c>
      <c r="F239" s="2">
        <v>58063</v>
      </c>
    </row>
    <row r="240" spans="1:6" x14ac:dyDescent="0.75">
      <c r="A240">
        <v>2025</v>
      </c>
      <c r="B240" t="s">
        <v>53</v>
      </c>
      <c r="C240" t="s">
        <v>47</v>
      </c>
      <c r="D240" s="1">
        <v>2400</v>
      </c>
      <c r="E240" s="1">
        <v>44846</v>
      </c>
      <c r="F240" s="2">
        <v>88336</v>
      </c>
    </row>
    <row r="241" spans="1:6" x14ac:dyDescent="0.75">
      <c r="A241">
        <v>2025</v>
      </c>
      <c r="B241" t="s">
        <v>53</v>
      </c>
      <c r="C241" t="s">
        <v>48</v>
      </c>
      <c r="D241">
        <v>428</v>
      </c>
      <c r="E241" s="1">
        <v>3000</v>
      </c>
      <c r="F241" s="2">
        <v>54299</v>
      </c>
    </row>
    <row r="242" spans="1:6" x14ac:dyDescent="0.75">
      <c r="A242">
        <v>2025</v>
      </c>
      <c r="B242" t="s">
        <v>56</v>
      </c>
      <c r="C242" t="s">
        <v>1</v>
      </c>
      <c r="D242" s="1">
        <v>13880</v>
      </c>
      <c r="E242" s="1">
        <v>94715</v>
      </c>
      <c r="F242" s="2">
        <v>75982</v>
      </c>
    </row>
    <row r="243" spans="1:6" x14ac:dyDescent="0.75">
      <c r="A243">
        <v>2025</v>
      </c>
      <c r="B243" t="s">
        <v>56</v>
      </c>
      <c r="C243" t="s">
        <v>2</v>
      </c>
      <c r="D243" s="1">
        <v>20707</v>
      </c>
      <c r="E243" s="1">
        <v>225922</v>
      </c>
      <c r="F243" s="2">
        <v>82956</v>
      </c>
    </row>
    <row r="244" spans="1:6" x14ac:dyDescent="0.75">
      <c r="A244">
        <v>2025</v>
      </c>
      <c r="B244" t="s">
        <v>56</v>
      </c>
      <c r="C244" t="s">
        <v>3</v>
      </c>
      <c r="D244" s="1">
        <v>8906</v>
      </c>
      <c r="E244" s="1">
        <v>51950</v>
      </c>
      <c r="F244" s="2">
        <v>65321</v>
      </c>
    </row>
    <row r="245" spans="1:6" x14ac:dyDescent="0.75">
      <c r="A245">
        <v>2025</v>
      </c>
      <c r="B245" t="s">
        <v>56</v>
      </c>
      <c r="C245" t="s">
        <v>4</v>
      </c>
      <c r="D245" s="1">
        <v>112775</v>
      </c>
      <c r="E245" s="1">
        <v>817007</v>
      </c>
      <c r="F245" s="2">
        <v>124107</v>
      </c>
    </row>
    <row r="246" spans="1:6" x14ac:dyDescent="0.75">
      <c r="A246">
        <v>2025</v>
      </c>
      <c r="B246" t="s">
        <v>56</v>
      </c>
      <c r="C246" t="s">
        <v>5</v>
      </c>
      <c r="D246" s="1">
        <v>25139</v>
      </c>
      <c r="E246" s="1">
        <v>165271</v>
      </c>
      <c r="F246" s="2">
        <v>97276</v>
      </c>
    </row>
    <row r="247" spans="1:6" x14ac:dyDescent="0.75">
      <c r="A247">
        <v>2025</v>
      </c>
      <c r="B247" t="s">
        <v>56</v>
      </c>
      <c r="C247" t="s">
        <v>6</v>
      </c>
      <c r="D247" s="1">
        <v>11223</v>
      </c>
      <c r="E247" s="1">
        <v>118168</v>
      </c>
      <c r="F247" s="2">
        <v>165086</v>
      </c>
    </row>
    <row r="248" spans="1:6" x14ac:dyDescent="0.75">
      <c r="A248">
        <v>2025</v>
      </c>
      <c r="B248" t="s">
        <v>56</v>
      </c>
      <c r="C248" t="s">
        <v>7</v>
      </c>
      <c r="D248" s="1">
        <v>3005</v>
      </c>
      <c r="E248" s="1">
        <v>47390</v>
      </c>
      <c r="F248" s="2">
        <v>103154</v>
      </c>
    </row>
    <row r="249" spans="1:6" x14ac:dyDescent="0.75">
      <c r="A249">
        <v>2025</v>
      </c>
      <c r="B249" t="s">
        <v>56</v>
      </c>
      <c r="C249" t="s">
        <v>8</v>
      </c>
      <c r="D249" s="1">
        <v>80956</v>
      </c>
      <c r="E249" s="1">
        <v>586706</v>
      </c>
      <c r="F249" s="2">
        <v>84307</v>
      </c>
    </row>
    <row r="250" spans="1:6" x14ac:dyDescent="0.75">
      <c r="A250">
        <v>2025</v>
      </c>
      <c r="B250" t="s">
        <v>56</v>
      </c>
      <c r="C250" t="s">
        <v>9</v>
      </c>
      <c r="D250" s="1">
        <v>28810</v>
      </c>
      <c r="E250" s="1">
        <v>242175</v>
      </c>
      <c r="F250" s="2">
        <v>93145</v>
      </c>
    </row>
    <row r="251" spans="1:6" x14ac:dyDescent="0.75">
      <c r="A251">
        <v>2025</v>
      </c>
      <c r="B251" t="s">
        <v>56</v>
      </c>
      <c r="C251" t="s">
        <v>10</v>
      </c>
      <c r="D251" s="1">
        <v>6508</v>
      </c>
      <c r="E251" s="1">
        <v>34249</v>
      </c>
      <c r="F251" s="2">
        <v>68833</v>
      </c>
    </row>
    <row r="252" spans="1:6" x14ac:dyDescent="0.75">
      <c r="A252">
        <v>2025</v>
      </c>
      <c r="B252" t="s">
        <v>56</v>
      </c>
      <c r="C252" t="s">
        <v>11</v>
      </c>
      <c r="D252" s="1">
        <v>33063</v>
      </c>
      <c r="E252" s="1">
        <v>376539</v>
      </c>
      <c r="F252" s="2">
        <v>121634</v>
      </c>
    </row>
    <row r="253" spans="1:6" x14ac:dyDescent="0.75">
      <c r="A253">
        <v>2025</v>
      </c>
      <c r="B253" t="s">
        <v>56</v>
      </c>
      <c r="C253" t="s">
        <v>12</v>
      </c>
      <c r="D253" s="1">
        <v>17574</v>
      </c>
      <c r="E253" s="1">
        <v>133449</v>
      </c>
      <c r="F253" s="2">
        <v>72283</v>
      </c>
    </row>
    <row r="254" spans="1:6" x14ac:dyDescent="0.75">
      <c r="A254">
        <v>2025</v>
      </c>
      <c r="B254" t="s">
        <v>56</v>
      </c>
      <c r="C254" t="s">
        <v>13</v>
      </c>
      <c r="D254" s="1">
        <v>10731</v>
      </c>
      <c r="E254" s="1">
        <v>109283</v>
      </c>
      <c r="F254" s="2">
        <v>81131</v>
      </c>
    </row>
    <row r="255" spans="1:6" x14ac:dyDescent="0.75">
      <c r="A255">
        <v>2025</v>
      </c>
      <c r="B255" t="s">
        <v>56</v>
      </c>
      <c r="C255" t="s">
        <v>14</v>
      </c>
      <c r="D255" s="1">
        <v>8752</v>
      </c>
      <c r="E255" s="1">
        <v>73310</v>
      </c>
      <c r="F255" s="2">
        <v>75889</v>
      </c>
    </row>
    <row r="256" spans="1:6" x14ac:dyDescent="0.75">
      <c r="A256">
        <v>2025</v>
      </c>
      <c r="B256" t="s">
        <v>56</v>
      </c>
      <c r="C256" t="s">
        <v>15</v>
      </c>
      <c r="D256" s="1">
        <v>11729</v>
      </c>
      <c r="E256" s="1">
        <v>92079</v>
      </c>
      <c r="F256" s="2">
        <v>75177</v>
      </c>
    </row>
    <row r="257" spans="1:6" x14ac:dyDescent="0.75">
      <c r="A257">
        <v>2025</v>
      </c>
      <c r="B257" t="s">
        <v>56</v>
      </c>
      <c r="C257" t="s">
        <v>16</v>
      </c>
      <c r="D257" s="1">
        <v>14229</v>
      </c>
      <c r="E257" s="1">
        <v>81149</v>
      </c>
      <c r="F257" s="2">
        <v>69409</v>
      </c>
    </row>
    <row r="258" spans="1:6" x14ac:dyDescent="0.75">
      <c r="A258">
        <v>2025</v>
      </c>
      <c r="B258" t="s">
        <v>56</v>
      </c>
      <c r="C258" t="s">
        <v>17</v>
      </c>
      <c r="D258" s="1">
        <v>3926</v>
      </c>
      <c r="E258" s="1">
        <v>30107</v>
      </c>
      <c r="F258" s="2">
        <v>75870</v>
      </c>
    </row>
    <row r="259" spans="1:6" x14ac:dyDescent="0.75">
      <c r="A259">
        <v>2025</v>
      </c>
      <c r="B259" t="s">
        <v>56</v>
      </c>
      <c r="C259" t="s">
        <v>18</v>
      </c>
      <c r="D259" s="1">
        <v>15692</v>
      </c>
      <c r="E259" s="1">
        <v>129771</v>
      </c>
      <c r="F259" s="2">
        <v>110159</v>
      </c>
    </row>
    <row r="260" spans="1:6" x14ac:dyDescent="0.75">
      <c r="A260">
        <v>2025</v>
      </c>
      <c r="B260" t="s">
        <v>56</v>
      </c>
      <c r="C260" t="s">
        <v>19</v>
      </c>
      <c r="D260" s="1">
        <v>18137</v>
      </c>
      <c r="E260" s="1">
        <v>212062</v>
      </c>
      <c r="F260" s="2">
        <v>159120</v>
      </c>
    </row>
    <row r="261" spans="1:6" x14ac:dyDescent="0.75">
      <c r="A261">
        <v>2025</v>
      </c>
      <c r="B261" t="s">
        <v>56</v>
      </c>
      <c r="C261" t="s">
        <v>20</v>
      </c>
      <c r="D261" s="1">
        <v>20626</v>
      </c>
      <c r="E261" s="1">
        <v>207448</v>
      </c>
      <c r="F261" s="2">
        <v>81720</v>
      </c>
    </row>
    <row r="262" spans="1:6" x14ac:dyDescent="0.75">
      <c r="A262">
        <v>2025</v>
      </c>
      <c r="B262" t="s">
        <v>56</v>
      </c>
      <c r="C262" t="s">
        <v>21</v>
      </c>
      <c r="D262" s="1">
        <v>16134</v>
      </c>
      <c r="E262" s="1">
        <v>179728</v>
      </c>
      <c r="F262" s="2">
        <v>104989</v>
      </c>
    </row>
    <row r="263" spans="1:6" x14ac:dyDescent="0.75">
      <c r="A263">
        <v>2025</v>
      </c>
      <c r="B263" t="s">
        <v>56</v>
      </c>
      <c r="C263" t="s">
        <v>22</v>
      </c>
      <c r="D263" s="1">
        <v>7984</v>
      </c>
      <c r="E263" s="1">
        <v>41912</v>
      </c>
      <c r="F263" s="2">
        <v>59263</v>
      </c>
    </row>
    <row r="264" spans="1:6" x14ac:dyDescent="0.75">
      <c r="A264">
        <v>2025</v>
      </c>
      <c r="B264" t="s">
        <v>56</v>
      </c>
      <c r="C264" t="s">
        <v>23</v>
      </c>
      <c r="D264" s="1">
        <v>18815</v>
      </c>
      <c r="E264" s="1">
        <v>165564</v>
      </c>
      <c r="F264" s="2">
        <v>82664</v>
      </c>
    </row>
    <row r="265" spans="1:6" x14ac:dyDescent="0.75">
      <c r="A265">
        <v>2025</v>
      </c>
      <c r="B265" t="s">
        <v>56</v>
      </c>
      <c r="C265" t="s">
        <v>24</v>
      </c>
      <c r="D265" s="1">
        <v>4557</v>
      </c>
      <c r="E265" s="1">
        <v>21986</v>
      </c>
      <c r="F265" s="2">
        <v>67330</v>
      </c>
    </row>
    <row r="266" spans="1:6" x14ac:dyDescent="0.75">
      <c r="A266">
        <v>2025</v>
      </c>
      <c r="B266" t="s">
        <v>56</v>
      </c>
      <c r="C266" t="s">
        <v>25</v>
      </c>
      <c r="D266" s="1">
        <v>7000</v>
      </c>
      <c r="E266" s="1">
        <v>66588</v>
      </c>
      <c r="F266" s="2">
        <v>74942</v>
      </c>
    </row>
    <row r="267" spans="1:6" x14ac:dyDescent="0.75">
      <c r="A267">
        <v>2025</v>
      </c>
      <c r="B267" t="s">
        <v>56</v>
      </c>
      <c r="C267" t="s">
        <v>26</v>
      </c>
      <c r="D267" s="1">
        <v>9293</v>
      </c>
      <c r="E267" s="1">
        <v>62325</v>
      </c>
      <c r="F267" s="2">
        <v>79236</v>
      </c>
    </row>
    <row r="268" spans="1:6" x14ac:dyDescent="0.75">
      <c r="A268">
        <v>2025</v>
      </c>
      <c r="B268" t="s">
        <v>56</v>
      </c>
      <c r="C268" t="s">
        <v>27</v>
      </c>
      <c r="D268" s="1">
        <v>3946</v>
      </c>
      <c r="E268" s="1">
        <v>33027</v>
      </c>
      <c r="F268" s="2">
        <v>109751</v>
      </c>
    </row>
    <row r="269" spans="1:6" x14ac:dyDescent="0.75">
      <c r="A269">
        <v>2025</v>
      </c>
      <c r="B269" t="s">
        <v>56</v>
      </c>
      <c r="C269" t="s">
        <v>28</v>
      </c>
      <c r="D269" s="1">
        <v>20469</v>
      </c>
      <c r="E269" s="1">
        <v>235676</v>
      </c>
      <c r="F269" s="2">
        <v>127870</v>
      </c>
    </row>
    <row r="270" spans="1:6" x14ac:dyDescent="0.75">
      <c r="A270">
        <v>2025</v>
      </c>
      <c r="B270" t="s">
        <v>56</v>
      </c>
      <c r="C270" t="s">
        <v>29</v>
      </c>
      <c r="D270" s="1">
        <v>5600</v>
      </c>
      <c r="E270" s="1">
        <v>32608</v>
      </c>
      <c r="F270" s="2">
        <v>62343</v>
      </c>
    </row>
    <row r="271" spans="1:6" x14ac:dyDescent="0.75">
      <c r="A271">
        <v>2025</v>
      </c>
      <c r="B271" t="s">
        <v>56</v>
      </c>
      <c r="C271" t="s">
        <v>30</v>
      </c>
      <c r="D271" s="1">
        <v>63948</v>
      </c>
      <c r="E271" s="1">
        <v>700031</v>
      </c>
      <c r="F271" s="2">
        <v>207014</v>
      </c>
    </row>
    <row r="272" spans="1:6" x14ac:dyDescent="0.75">
      <c r="A272">
        <v>2025</v>
      </c>
      <c r="B272" t="s">
        <v>56</v>
      </c>
      <c r="C272" t="s">
        <v>31</v>
      </c>
      <c r="D272" s="1">
        <v>30275</v>
      </c>
      <c r="E272" s="1">
        <v>251672</v>
      </c>
      <c r="F272" s="2">
        <v>97234</v>
      </c>
    </row>
    <row r="273" spans="1:6" x14ac:dyDescent="0.75">
      <c r="A273">
        <v>2025</v>
      </c>
      <c r="B273" t="s">
        <v>56</v>
      </c>
      <c r="C273" t="s">
        <v>32</v>
      </c>
      <c r="D273" s="1">
        <v>3042</v>
      </c>
      <c r="E273" s="1">
        <v>22496</v>
      </c>
      <c r="F273" s="2">
        <v>69243</v>
      </c>
    </row>
    <row r="274" spans="1:6" x14ac:dyDescent="0.75">
      <c r="A274">
        <v>2025</v>
      </c>
      <c r="B274" t="s">
        <v>56</v>
      </c>
      <c r="C274" t="s">
        <v>33</v>
      </c>
      <c r="D274" s="1">
        <v>29307</v>
      </c>
      <c r="E274" s="1">
        <v>287990</v>
      </c>
      <c r="F274" s="2">
        <v>82336</v>
      </c>
    </row>
    <row r="275" spans="1:6" x14ac:dyDescent="0.75">
      <c r="A275">
        <v>2025</v>
      </c>
      <c r="B275" t="s">
        <v>56</v>
      </c>
      <c r="C275" t="s">
        <v>34</v>
      </c>
      <c r="D275" s="1">
        <v>11701</v>
      </c>
      <c r="E275" s="1">
        <v>74614</v>
      </c>
      <c r="F275" s="2">
        <v>64030</v>
      </c>
    </row>
    <row r="276" spans="1:6" x14ac:dyDescent="0.75">
      <c r="A276">
        <v>2025</v>
      </c>
      <c r="B276" t="s">
        <v>56</v>
      </c>
      <c r="C276" t="s">
        <v>35</v>
      </c>
      <c r="D276" s="1">
        <v>13352</v>
      </c>
      <c r="E276" s="1">
        <v>83937</v>
      </c>
      <c r="F276" s="2">
        <v>80727</v>
      </c>
    </row>
    <row r="277" spans="1:6" x14ac:dyDescent="0.75">
      <c r="A277">
        <v>2025</v>
      </c>
      <c r="B277" t="s">
        <v>56</v>
      </c>
      <c r="C277" t="s">
        <v>36</v>
      </c>
      <c r="D277" s="1">
        <v>29714</v>
      </c>
      <c r="E277" s="1">
        <v>325571</v>
      </c>
      <c r="F277" s="2">
        <v>97231</v>
      </c>
    </row>
    <row r="278" spans="1:6" x14ac:dyDescent="0.75">
      <c r="A278">
        <v>2025</v>
      </c>
      <c r="B278" t="s">
        <v>56</v>
      </c>
      <c r="C278" t="s">
        <v>37</v>
      </c>
      <c r="D278" s="1">
        <v>3038</v>
      </c>
      <c r="E278" s="1">
        <v>31304</v>
      </c>
      <c r="F278" s="2">
        <v>100316</v>
      </c>
    </row>
    <row r="279" spans="1:6" x14ac:dyDescent="0.75">
      <c r="A279">
        <v>2025</v>
      </c>
      <c r="B279" t="s">
        <v>56</v>
      </c>
      <c r="C279" t="s">
        <v>38</v>
      </c>
      <c r="D279" s="1">
        <v>15078</v>
      </c>
      <c r="E279" s="1">
        <v>101637</v>
      </c>
      <c r="F279" s="2">
        <v>71361</v>
      </c>
    </row>
    <row r="280" spans="1:6" x14ac:dyDescent="0.75">
      <c r="A280">
        <v>2025</v>
      </c>
      <c r="B280" t="s">
        <v>56</v>
      </c>
      <c r="C280" t="s">
        <v>39</v>
      </c>
      <c r="D280" s="1">
        <v>3397</v>
      </c>
      <c r="E280" s="1">
        <v>27809</v>
      </c>
      <c r="F280" s="2">
        <v>69345</v>
      </c>
    </row>
    <row r="281" spans="1:6" x14ac:dyDescent="0.75">
      <c r="A281">
        <v>2025</v>
      </c>
      <c r="B281" t="s">
        <v>56</v>
      </c>
      <c r="C281" t="s">
        <v>40</v>
      </c>
      <c r="D281" s="1">
        <v>16893</v>
      </c>
      <c r="E281" s="1">
        <v>155926</v>
      </c>
      <c r="F281" s="2">
        <v>85116</v>
      </c>
    </row>
    <row r="282" spans="1:6" x14ac:dyDescent="0.75">
      <c r="A282">
        <v>2025</v>
      </c>
      <c r="B282" t="s">
        <v>56</v>
      </c>
      <c r="C282" t="s">
        <v>41</v>
      </c>
      <c r="D282" s="1">
        <v>78940</v>
      </c>
      <c r="E282" s="1">
        <v>778554</v>
      </c>
      <c r="F282" s="2">
        <v>92477</v>
      </c>
    </row>
    <row r="283" spans="1:6" x14ac:dyDescent="0.75">
      <c r="A283">
        <v>2025</v>
      </c>
      <c r="B283" t="s">
        <v>56</v>
      </c>
      <c r="C283" t="s">
        <v>42</v>
      </c>
      <c r="D283" s="1">
        <v>12580</v>
      </c>
      <c r="E283" s="1">
        <v>93379</v>
      </c>
      <c r="F283" s="2">
        <v>79806</v>
      </c>
    </row>
    <row r="284" spans="1:6" x14ac:dyDescent="0.75">
      <c r="A284">
        <v>2025</v>
      </c>
      <c r="B284" t="s">
        <v>56</v>
      </c>
      <c r="C284" t="s">
        <v>43</v>
      </c>
      <c r="D284" s="1">
        <v>1719</v>
      </c>
      <c r="E284" s="1">
        <v>11578</v>
      </c>
      <c r="F284" s="2">
        <v>80135</v>
      </c>
    </row>
    <row r="285" spans="1:6" x14ac:dyDescent="0.75">
      <c r="A285">
        <v>2025</v>
      </c>
      <c r="B285" t="s">
        <v>56</v>
      </c>
      <c r="C285" t="s">
        <v>44</v>
      </c>
      <c r="D285" s="1">
        <v>22750</v>
      </c>
      <c r="E285" s="1">
        <v>195671</v>
      </c>
      <c r="F285" s="2">
        <v>97246</v>
      </c>
    </row>
    <row r="286" spans="1:6" x14ac:dyDescent="0.75">
      <c r="A286">
        <v>2025</v>
      </c>
      <c r="B286" t="s">
        <v>56</v>
      </c>
      <c r="C286" t="s">
        <v>45</v>
      </c>
      <c r="D286" s="1">
        <v>18828</v>
      </c>
      <c r="E286" s="1">
        <v>147772</v>
      </c>
      <c r="F286" s="2">
        <v>95674</v>
      </c>
    </row>
    <row r="287" spans="1:6" x14ac:dyDescent="0.75">
      <c r="A287">
        <v>2025</v>
      </c>
      <c r="B287" t="s">
        <v>56</v>
      </c>
      <c r="C287" t="s">
        <v>46</v>
      </c>
      <c r="D287" s="1">
        <v>4042</v>
      </c>
      <c r="E287" s="1">
        <v>24190</v>
      </c>
      <c r="F287" s="2">
        <v>56764</v>
      </c>
    </row>
    <row r="288" spans="1:6" x14ac:dyDescent="0.75">
      <c r="A288">
        <v>2025</v>
      </c>
      <c r="B288" t="s">
        <v>56</v>
      </c>
      <c r="C288" t="s">
        <v>47</v>
      </c>
      <c r="D288" s="1">
        <v>14688</v>
      </c>
      <c r="E288" s="1">
        <v>148829</v>
      </c>
      <c r="F288" s="2">
        <v>80470</v>
      </c>
    </row>
    <row r="289" spans="1:6" x14ac:dyDescent="0.75">
      <c r="A289">
        <v>2025</v>
      </c>
      <c r="B289" t="s">
        <v>56</v>
      </c>
      <c r="C289" t="s">
        <v>48</v>
      </c>
      <c r="D289" s="1">
        <v>2353</v>
      </c>
      <c r="E289" s="1">
        <v>10919</v>
      </c>
      <c r="F289" s="2">
        <v>64480</v>
      </c>
    </row>
    <row r="290" spans="1:6" x14ac:dyDescent="0.75">
      <c r="A290">
        <v>2025</v>
      </c>
      <c r="B290" t="s">
        <v>57</v>
      </c>
      <c r="C290" t="s">
        <v>1</v>
      </c>
      <c r="D290" s="1">
        <v>22875</v>
      </c>
      <c r="E290" s="1">
        <v>242419</v>
      </c>
      <c r="F290" s="2">
        <v>62111</v>
      </c>
    </row>
    <row r="291" spans="1:6" x14ac:dyDescent="0.75">
      <c r="A291">
        <v>2025</v>
      </c>
      <c r="B291" t="s">
        <v>57</v>
      </c>
      <c r="C291" t="s">
        <v>2</v>
      </c>
      <c r="D291" s="1">
        <v>40867</v>
      </c>
      <c r="E291" s="1">
        <v>431379</v>
      </c>
      <c r="F291" s="2">
        <v>63180</v>
      </c>
    </row>
    <row r="292" spans="1:6" x14ac:dyDescent="0.75">
      <c r="A292">
        <v>2025</v>
      </c>
      <c r="B292" t="s">
        <v>57</v>
      </c>
      <c r="C292" t="s">
        <v>3</v>
      </c>
      <c r="D292" s="1">
        <v>15490</v>
      </c>
      <c r="E292" s="1">
        <v>139300</v>
      </c>
      <c r="F292" s="2">
        <v>68067</v>
      </c>
    </row>
    <row r="293" spans="1:6" x14ac:dyDescent="0.75">
      <c r="A293">
        <v>2025</v>
      </c>
      <c r="B293" t="s">
        <v>57</v>
      </c>
      <c r="C293" t="s">
        <v>4</v>
      </c>
      <c r="D293" s="1">
        <v>221985</v>
      </c>
      <c r="E293" s="1">
        <v>2600604</v>
      </c>
      <c r="F293" s="2">
        <v>106486</v>
      </c>
    </row>
    <row r="294" spans="1:6" x14ac:dyDescent="0.75">
      <c r="A294">
        <v>2025</v>
      </c>
      <c r="B294" t="s">
        <v>57</v>
      </c>
      <c r="C294" t="s">
        <v>5</v>
      </c>
      <c r="D294" s="1">
        <v>58286</v>
      </c>
      <c r="E294" s="1">
        <v>430367</v>
      </c>
      <c r="F294" s="2">
        <v>90744</v>
      </c>
    </row>
    <row r="295" spans="1:6" x14ac:dyDescent="0.75">
      <c r="A295">
        <v>2025</v>
      </c>
      <c r="B295" t="s">
        <v>57</v>
      </c>
      <c r="C295" t="s">
        <v>6</v>
      </c>
      <c r="D295" s="1">
        <v>24131</v>
      </c>
      <c r="E295" s="1">
        <v>206629</v>
      </c>
      <c r="F295" s="2">
        <v>95714</v>
      </c>
    </row>
    <row r="296" spans="1:6" x14ac:dyDescent="0.75">
      <c r="A296">
        <v>2025</v>
      </c>
      <c r="B296" t="s">
        <v>57</v>
      </c>
      <c r="C296" t="s">
        <v>7</v>
      </c>
      <c r="D296" s="1">
        <v>9766</v>
      </c>
      <c r="E296" s="1">
        <v>61669</v>
      </c>
      <c r="F296" s="2">
        <v>85651</v>
      </c>
    </row>
    <row r="297" spans="1:6" x14ac:dyDescent="0.75">
      <c r="A297">
        <v>2025</v>
      </c>
      <c r="B297" t="s">
        <v>57</v>
      </c>
      <c r="C297" t="s">
        <v>8</v>
      </c>
      <c r="D297" s="1">
        <v>179893</v>
      </c>
      <c r="E297" s="1">
        <v>1358317</v>
      </c>
      <c r="F297" s="2">
        <v>68223</v>
      </c>
    </row>
    <row r="298" spans="1:6" x14ac:dyDescent="0.75">
      <c r="A298">
        <v>2025</v>
      </c>
      <c r="B298" t="s">
        <v>57</v>
      </c>
      <c r="C298" t="s">
        <v>9</v>
      </c>
      <c r="D298" s="1">
        <v>60683</v>
      </c>
      <c r="E298" s="1">
        <v>692452</v>
      </c>
      <c r="F298" s="2">
        <v>76331</v>
      </c>
    </row>
    <row r="299" spans="1:6" x14ac:dyDescent="0.75">
      <c r="A299">
        <v>2025</v>
      </c>
      <c r="B299" t="s">
        <v>57</v>
      </c>
      <c r="C299" t="s">
        <v>10</v>
      </c>
      <c r="D299" s="1">
        <v>12911</v>
      </c>
      <c r="E299" s="1">
        <v>97097</v>
      </c>
      <c r="F299" s="2">
        <v>59743</v>
      </c>
    </row>
    <row r="300" spans="1:6" x14ac:dyDescent="0.75">
      <c r="A300">
        <v>2025</v>
      </c>
      <c r="B300" t="s">
        <v>57</v>
      </c>
      <c r="C300" t="s">
        <v>11</v>
      </c>
      <c r="D300" s="1">
        <v>75904</v>
      </c>
      <c r="E300" s="1">
        <v>892150</v>
      </c>
      <c r="F300" s="2">
        <v>83889</v>
      </c>
    </row>
    <row r="301" spans="1:6" x14ac:dyDescent="0.75">
      <c r="A301">
        <v>2025</v>
      </c>
      <c r="B301" t="s">
        <v>57</v>
      </c>
      <c r="C301" t="s">
        <v>12</v>
      </c>
      <c r="D301" s="1">
        <v>32143</v>
      </c>
      <c r="E301" s="1">
        <v>326745</v>
      </c>
      <c r="F301" s="2">
        <v>58578</v>
      </c>
    </row>
    <row r="302" spans="1:6" x14ac:dyDescent="0.75">
      <c r="A302">
        <v>2025</v>
      </c>
      <c r="B302" t="s">
        <v>57</v>
      </c>
      <c r="C302" t="s">
        <v>13</v>
      </c>
      <c r="D302" s="1">
        <v>16706</v>
      </c>
      <c r="E302" s="1">
        <v>134822</v>
      </c>
      <c r="F302" s="2">
        <v>61793</v>
      </c>
    </row>
    <row r="303" spans="1:6" x14ac:dyDescent="0.75">
      <c r="A303">
        <v>2025</v>
      </c>
      <c r="B303" t="s">
        <v>57</v>
      </c>
      <c r="C303" t="s">
        <v>14</v>
      </c>
      <c r="D303" s="1">
        <v>16823</v>
      </c>
      <c r="E303" s="1">
        <v>168813</v>
      </c>
      <c r="F303" s="2">
        <v>69538</v>
      </c>
    </row>
    <row r="304" spans="1:6" x14ac:dyDescent="0.75">
      <c r="A304">
        <v>2025</v>
      </c>
      <c r="B304" t="s">
        <v>57</v>
      </c>
      <c r="C304" t="s">
        <v>15</v>
      </c>
      <c r="D304" s="1">
        <v>22329</v>
      </c>
      <c r="E304" s="1">
        <v>207575</v>
      </c>
      <c r="F304" s="2">
        <v>55987</v>
      </c>
    </row>
    <row r="305" spans="1:6" x14ac:dyDescent="0.75">
      <c r="A305">
        <v>2025</v>
      </c>
      <c r="B305" t="s">
        <v>57</v>
      </c>
      <c r="C305" t="s">
        <v>16</v>
      </c>
      <c r="D305" s="1">
        <v>26262</v>
      </c>
      <c r="E305" s="1">
        <v>204729</v>
      </c>
      <c r="F305" s="2">
        <v>60136</v>
      </c>
    </row>
    <row r="306" spans="1:6" x14ac:dyDescent="0.75">
      <c r="A306">
        <v>2025</v>
      </c>
      <c r="B306" t="s">
        <v>57</v>
      </c>
      <c r="C306" t="s">
        <v>17</v>
      </c>
      <c r="D306" s="1">
        <v>11267</v>
      </c>
      <c r="E306" s="1">
        <v>68952</v>
      </c>
      <c r="F306" s="2">
        <v>66178</v>
      </c>
    </row>
    <row r="307" spans="1:6" x14ac:dyDescent="0.75">
      <c r="A307">
        <v>2025</v>
      </c>
      <c r="B307" t="s">
        <v>57</v>
      </c>
      <c r="C307" t="s">
        <v>18</v>
      </c>
      <c r="D307" s="1">
        <v>44172</v>
      </c>
      <c r="E307" s="1">
        <v>441860</v>
      </c>
      <c r="F307" s="2">
        <v>88391</v>
      </c>
    </row>
    <row r="308" spans="1:6" x14ac:dyDescent="0.75">
      <c r="A308">
        <v>2025</v>
      </c>
      <c r="B308" t="s">
        <v>57</v>
      </c>
      <c r="C308" t="s">
        <v>19</v>
      </c>
      <c r="D308" s="1">
        <v>48428</v>
      </c>
      <c r="E308" s="1">
        <v>583792</v>
      </c>
      <c r="F308" s="2">
        <v>124638</v>
      </c>
    </row>
    <row r="309" spans="1:6" x14ac:dyDescent="0.75">
      <c r="A309">
        <v>2025</v>
      </c>
      <c r="B309" t="s">
        <v>57</v>
      </c>
      <c r="C309" t="s">
        <v>20</v>
      </c>
      <c r="D309" s="1">
        <v>46269</v>
      </c>
      <c r="E309" s="1">
        <v>599657</v>
      </c>
      <c r="F309" s="2">
        <v>76432</v>
      </c>
    </row>
    <row r="310" spans="1:6" x14ac:dyDescent="0.75">
      <c r="A310">
        <v>2025</v>
      </c>
      <c r="B310" t="s">
        <v>57</v>
      </c>
      <c r="C310" t="s">
        <v>21</v>
      </c>
      <c r="D310" s="1">
        <v>33603</v>
      </c>
      <c r="E310" s="1">
        <v>361183</v>
      </c>
      <c r="F310" s="2">
        <v>91033</v>
      </c>
    </row>
    <row r="311" spans="1:6" x14ac:dyDescent="0.75">
      <c r="A311">
        <v>2025</v>
      </c>
      <c r="B311" t="s">
        <v>57</v>
      </c>
      <c r="C311" t="s">
        <v>22</v>
      </c>
      <c r="D311" s="1">
        <v>12692</v>
      </c>
      <c r="E311" s="1">
        <v>107758</v>
      </c>
      <c r="F311" s="2">
        <v>45573</v>
      </c>
    </row>
    <row r="312" spans="1:6" x14ac:dyDescent="0.75">
      <c r="A312">
        <v>2025</v>
      </c>
      <c r="B312" t="s">
        <v>57</v>
      </c>
      <c r="C312" t="s">
        <v>23</v>
      </c>
      <c r="D312" s="1">
        <v>36089</v>
      </c>
      <c r="E312" s="1">
        <v>365657</v>
      </c>
      <c r="F312" s="2">
        <v>72666</v>
      </c>
    </row>
    <row r="313" spans="1:6" x14ac:dyDescent="0.75">
      <c r="A313">
        <v>2025</v>
      </c>
      <c r="B313" t="s">
        <v>57</v>
      </c>
      <c r="C313" t="s">
        <v>24</v>
      </c>
      <c r="D313" s="1">
        <v>10331</v>
      </c>
      <c r="E313" s="1">
        <v>43549</v>
      </c>
      <c r="F313" s="2">
        <v>59785</v>
      </c>
    </row>
    <row r="314" spans="1:6" x14ac:dyDescent="0.75">
      <c r="A314">
        <v>2025</v>
      </c>
      <c r="B314" t="s">
        <v>57</v>
      </c>
      <c r="C314" t="s">
        <v>25</v>
      </c>
      <c r="D314" s="1">
        <v>11809</v>
      </c>
      <c r="E314" s="1">
        <v>117288</v>
      </c>
      <c r="F314" s="2">
        <v>65292</v>
      </c>
    </row>
    <row r="315" spans="1:6" x14ac:dyDescent="0.75">
      <c r="A315">
        <v>2025</v>
      </c>
      <c r="B315" t="s">
        <v>57</v>
      </c>
      <c r="C315" t="s">
        <v>26</v>
      </c>
      <c r="D315" s="1">
        <v>20046</v>
      </c>
      <c r="E315" s="1">
        <v>179092</v>
      </c>
      <c r="F315" s="2">
        <v>67081</v>
      </c>
    </row>
    <row r="316" spans="1:6" x14ac:dyDescent="0.75">
      <c r="A316">
        <v>2025</v>
      </c>
      <c r="B316" t="s">
        <v>57</v>
      </c>
      <c r="C316" t="s">
        <v>27</v>
      </c>
      <c r="D316" s="1">
        <v>13616</v>
      </c>
      <c r="E316" s="1">
        <v>81639</v>
      </c>
      <c r="F316" s="2">
        <v>88167</v>
      </c>
    </row>
    <row r="317" spans="1:6" x14ac:dyDescent="0.75">
      <c r="A317">
        <v>2025</v>
      </c>
      <c r="B317" t="s">
        <v>57</v>
      </c>
      <c r="C317" t="s">
        <v>28</v>
      </c>
      <c r="D317" s="1">
        <v>53304</v>
      </c>
      <c r="E317" s="1">
        <v>643507</v>
      </c>
      <c r="F317" s="2">
        <v>102666</v>
      </c>
    </row>
    <row r="318" spans="1:6" x14ac:dyDescent="0.75">
      <c r="A318">
        <v>2025</v>
      </c>
      <c r="B318" t="s">
        <v>57</v>
      </c>
      <c r="C318" t="s">
        <v>29</v>
      </c>
      <c r="D318" s="1">
        <v>11550</v>
      </c>
      <c r="E318" s="1">
        <v>107707</v>
      </c>
      <c r="F318" s="2">
        <v>69938</v>
      </c>
    </row>
    <row r="319" spans="1:6" x14ac:dyDescent="0.75">
      <c r="A319">
        <v>2025</v>
      </c>
      <c r="B319" t="s">
        <v>57</v>
      </c>
      <c r="C319" t="s">
        <v>30</v>
      </c>
      <c r="D319" s="1">
        <v>117347</v>
      </c>
      <c r="E319" s="1">
        <v>1242471</v>
      </c>
      <c r="F319" s="2">
        <v>109413</v>
      </c>
    </row>
    <row r="320" spans="1:6" x14ac:dyDescent="0.75">
      <c r="A320">
        <v>2025</v>
      </c>
      <c r="B320" t="s">
        <v>57</v>
      </c>
      <c r="C320" t="s">
        <v>31</v>
      </c>
      <c r="D320" s="1">
        <v>64843</v>
      </c>
      <c r="E320" s="1">
        <v>637719</v>
      </c>
      <c r="F320" s="2">
        <v>72078</v>
      </c>
    </row>
    <row r="321" spans="1:6" x14ac:dyDescent="0.75">
      <c r="A321">
        <v>2025</v>
      </c>
      <c r="B321" t="s">
        <v>57</v>
      </c>
      <c r="C321" t="s">
        <v>32</v>
      </c>
      <c r="D321" s="1">
        <v>5337</v>
      </c>
      <c r="E321" s="1">
        <v>31642</v>
      </c>
      <c r="F321" s="2">
        <v>65877</v>
      </c>
    </row>
    <row r="322" spans="1:6" x14ac:dyDescent="0.75">
      <c r="A322">
        <v>2025</v>
      </c>
      <c r="B322" t="s">
        <v>57</v>
      </c>
      <c r="C322" t="s">
        <v>33</v>
      </c>
      <c r="D322" s="1">
        <v>55987</v>
      </c>
      <c r="E322" s="1">
        <v>697244</v>
      </c>
      <c r="F322" s="2">
        <v>71920</v>
      </c>
    </row>
    <row r="323" spans="1:6" x14ac:dyDescent="0.75">
      <c r="A323">
        <v>2025</v>
      </c>
      <c r="B323" t="s">
        <v>57</v>
      </c>
      <c r="C323" t="s">
        <v>34</v>
      </c>
      <c r="D323" s="1">
        <v>21652</v>
      </c>
      <c r="E323" s="1">
        <v>185307</v>
      </c>
      <c r="F323" s="2">
        <v>58539</v>
      </c>
    </row>
    <row r="324" spans="1:6" x14ac:dyDescent="0.75">
      <c r="A324">
        <v>2025</v>
      </c>
      <c r="B324" t="s">
        <v>57</v>
      </c>
      <c r="C324" t="s">
        <v>35</v>
      </c>
      <c r="D324" s="1">
        <v>27033</v>
      </c>
      <c r="E324" s="1">
        <v>242218</v>
      </c>
      <c r="F324" s="2">
        <v>81224</v>
      </c>
    </row>
    <row r="325" spans="1:6" x14ac:dyDescent="0.75">
      <c r="A325">
        <v>2025</v>
      </c>
      <c r="B325" t="s">
        <v>57</v>
      </c>
      <c r="C325" t="s">
        <v>36</v>
      </c>
      <c r="D325" s="1">
        <v>66210</v>
      </c>
      <c r="E325" s="1">
        <v>766122</v>
      </c>
      <c r="F325" s="2">
        <v>86971</v>
      </c>
    </row>
    <row r="326" spans="1:6" x14ac:dyDescent="0.75">
      <c r="A326">
        <v>2025</v>
      </c>
      <c r="B326" t="s">
        <v>57</v>
      </c>
      <c r="C326" t="s">
        <v>37</v>
      </c>
      <c r="D326" s="1">
        <v>9567</v>
      </c>
      <c r="E326" s="1">
        <v>65232</v>
      </c>
      <c r="F326" s="2">
        <v>75829</v>
      </c>
    </row>
    <row r="327" spans="1:6" x14ac:dyDescent="0.75">
      <c r="A327">
        <v>2025</v>
      </c>
      <c r="B327" t="s">
        <v>57</v>
      </c>
      <c r="C327" t="s">
        <v>38</v>
      </c>
      <c r="D327" s="1">
        <v>30793</v>
      </c>
      <c r="E327" s="1">
        <v>281874</v>
      </c>
      <c r="F327" s="2">
        <v>56907</v>
      </c>
    </row>
    <row r="328" spans="1:6" x14ac:dyDescent="0.75">
      <c r="A328">
        <v>2025</v>
      </c>
      <c r="B328" t="s">
        <v>57</v>
      </c>
      <c r="C328" t="s">
        <v>39</v>
      </c>
      <c r="D328" s="1">
        <v>5876</v>
      </c>
      <c r="E328" s="1">
        <v>32771</v>
      </c>
      <c r="F328" s="2">
        <v>63709</v>
      </c>
    </row>
    <row r="329" spans="1:6" x14ac:dyDescent="0.75">
      <c r="A329">
        <v>2025</v>
      </c>
      <c r="B329" t="s">
        <v>57</v>
      </c>
      <c r="C329" t="s">
        <v>40</v>
      </c>
      <c r="D329" s="1">
        <v>32595</v>
      </c>
      <c r="E329" s="1">
        <v>414644</v>
      </c>
      <c r="F329" s="2">
        <v>66460</v>
      </c>
    </row>
    <row r="330" spans="1:6" x14ac:dyDescent="0.75">
      <c r="A330">
        <v>2025</v>
      </c>
      <c r="B330" t="s">
        <v>57</v>
      </c>
      <c r="C330" t="s">
        <v>41</v>
      </c>
      <c r="D330" s="1">
        <v>146639</v>
      </c>
      <c r="E330" s="1">
        <v>1758991</v>
      </c>
      <c r="F330" s="2">
        <v>81123</v>
      </c>
    </row>
    <row r="331" spans="1:6" x14ac:dyDescent="0.75">
      <c r="A331">
        <v>2025</v>
      </c>
      <c r="B331" t="s">
        <v>57</v>
      </c>
      <c r="C331" t="s">
        <v>42</v>
      </c>
      <c r="D331" s="1">
        <v>25941</v>
      </c>
      <c r="E331" s="1">
        <v>223284</v>
      </c>
      <c r="F331" s="2">
        <v>68355</v>
      </c>
    </row>
    <row r="332" spans="1:6" x14ac:dyDescent="0.75">
      <c r="A332">
        <v>2025</v>
      </c>
      <c r="B332" t="s">
        <v>57</v>
      </c>
      <c r="C332" t="s">
        <v>43</v>
      </c>
      <c r="D332" s="1">
        <v>6346</v>
      </c>
      <c r="E332" s="1">
        <v>28512</v>
      </c>
      <c r="F332" s="2">
        <v>74442</v>
      </c>
    </row>
    <row r="333" spans="1:6" x14ac:dyDescent="0.75">
      <c r="A333">
        <v>2025</v>
      </c>
      <c r="B333" t="s">
        <v>57</v>
      </c>
      <c r="C333" t="s">
        <v>44</v>
      </c>
      <c r="D333" s="1">
        <v>60099</v>
      </c>
      <c r="E333" s="1">
        <v>752090</v>
      </c>
      <c r="F333" s="2">
        <v>96046</v>
      </c>
    </row>
    <row r="334" spans="1:6" x14ac:dyDescent="0.75">
      <c r="A334">
        <v>2025</v>
      </c>
      <c r="B334" t="s">
        <v>57</v>
      </c>
      <c r="C334" t="s">
        <v>45</v>
      </c>
      <c r="D334" s="1">
        <v>43094</v>
      </c>
      <c r="E334" s="1">
        <v>415190</v>
      </c>
      <c r="F334" s="2">
        <v>92279</v>
      </c>
    </row>
    <row r="335" spans="1:6" x14ac:dyDescent="0.75">
      <c r="A335">
        <v>2025</v>
      </c>
      <c r="B335" t="s">
        <v>57</v>
      </c>
      <c r="C335" t="s">
        <v>46</v>
      </c>
      <c r="D335" s="1">
        <v>8599</v>
      </c>
      <c r="E335" s="1">
        <v>65715</v>
      </c>
      <c r="F335" s="2">
        <v>53557</v>
      </c>
    </row>
    <row r="336" spans="1:6" x14ac:dyDescent="0.75">
      <c r="A336">
        <v>2025</v>
      </c>
      <c r="B336" t="s">
        <v>57</v>
      </c>
      <c r="C336" t="s">
        <v>47</v>
      </c>
      <c r="D336" s="1">
        <v>27048</v>
      </c>
      <c r="E336" s="1">
        <v>309780</v>
      </c>
      <c r="F336" s="2">
        <v>67254</v>
      </c>
    </row>
    <row r="337" spans="1:6" x14ac:dyDescent="0.75">
      <c r="A337">
        <v>2025</v>
      </c>
      <c r="B337" t="s">
        <v>57</v>
      </c>
      <c r="C337" t="s">
        <v>48</v>
      </c>
      <c r="D337" s="1">
        <v>4986</v>
      </c>
      <c r="E337" s="1">
        <v>18382</v>
      </c>
      <c r="F337" s="2">
        <v>60233</v>
      </c>
    </row>
    <row r="338" spans="1:6" x14ac:dyDescent="0.75">
      <c r="A338">
        <v>2025</v>
      </c>
      <c r="B338" t="s">
        <v>58</v>
      </c>
      <c r="C338" t="s">
        <v>1</v>
      </c>
      <c r="D338" s="1">
        <v>15859</v>
      </c>
      <c r="E338" s="1">
        <v>228486</v>
      </c>
      <c r="F338" s="2">
        <v>51193</v>
      </c>
    </row>
    <row r="339" spans="1:6" x14ac:dyDescent="0.75">
      <c r="A339">
        <v>2025</v>
      </c>
      <c r="B339" t="s">
        <v>58</v>
      </c>
      <c r="C339" t="s">
        <v>2</v>
      </c>
      <c r="D339" s="1">
        <v>20727</v>
      </c>
      <c r="E339" s="1">
        <v>455356</v>
      </c>
      <c r="F339" s="2">
        <v>56159</v>
      </c>
    </row>
    <row r="340" spans="1:6" x14ac:dyDescent="0.75">
      <c r="A340">
        <v>2025</v>
      </c>
      <c r="B340" t="s">
        <v>58</v>
      </c>
      <c r="C340" t="s">
        <v>3</v>
      </c>
      <c r="D340" s="1">
        <v>15656</v>
      </c>
      <c r="E340" s="1">
        <v>181169</v>
      </c>
      <c r="F340" s="2">
        <v>47435</v>
      </c>
    </row>
    <row r="341" spans="1:6" x14ac:dyDescent="0.75">
      <c r="A341">
        <v>2025</v>
      </c>
      <c r="B341" t="s">
        <v>58</v>
      </c>
      <c r="C341" t="s">
        <v>4</v>
      </c>
      <c r="D341" s="1">
        <v>656765</v>
      </c>
      <c r="E341" s="1">
        <v>2651781</v>
      </c>
      <c r="F341" s="2">
        <v>57668</v>
      </c>
    </row>
    <row r="342" spans="1:6" x14ac:dyDescent="0.75">
      <c r="A342">
        <v>2025</v>
      </c>
      <c r="B342" t="s">
        <v>58</v>
      </c>
      <c r="C342" t="s">
        <v>5</v>
      </c>
      <c r="D342" s="1">
        <v>23475</v>
      </c>
      <c r="E342" s="1">
        <v>332209</v>
      </c>
      <c r="F342" s="2">
        <v>55198</v>
      </c>
    </row>
    <row r="343" spans="1:6" x14ac:dyDescent="0.75">
      <c r="A343">
        <v>2025</v>
      </c>
      <c r="B343" t="s">
        <v>58</v>
      </c>
      <c r="C343" t="s">
        <v>6</v>
      </c>
      <c r="D343" s="1">
        <v>19964</v>
      </c>
      <c r="E343" s="1">
        <v>319881</v>
      </c>
      <c r="F343" s="2">
        <v>61215</v>
      </c>
    </row>
    <row r="344" spans="1:6" x14ac:dyDescent="0.75">
      <c r="A344">
        <v>2025</v>
      </c>
      <c r="B344" t="s">
        <v>58</v>
      </c>
      <c r="C344" t="s">
        <v>7</v>
      </c>
      <c r="D344" s="1">
        <v>5522</v>
      </c>
      <c r="E344" s="1">
        <v>74184</v>
      </c>
      <c r="F344" s="2">
        <v>57470</v>
      </c>
    </row>
    <row r="345" spans="1:6" x14ac:dyDescent="0.75">
      <c r="A345">
        <v>2025</v>
      </c>
      <c r="B345" t="s">
        <v>58</v>
      </c>
      <c r="C345" t="s">
        <v>8</v>
      </c>
      <c r="D345" s="1">
        <v>85058</v>
      </c>
      <c r="E345" s="1">
        <v>1293582</v>
      </c>
      <c r="F345" s="2">
        <v>55114</v>
      </c>
    </row>
    <row r="346" spans="1:6" x14ac:dyDescent="0.75">
      <c r="A346">
        <v>2025</v>
      </c>
      <c r="B346" t="s">
        <v>58</v>
      </c>
      <c r="C346" t="s">
        <v>9</v>
      </c>
      <c r="D346" s="1">
        <v>31842</v>
      </c>
      <c r="E346" s="1">
        <v>561390</v>
      </c>
      <c r="F346" s="2">
        <v>57141</v>
      </c>
    </row>
    <row r="347" spans="1:6" x14ac:dyDescent="0.75">
      <c r="A347">
        <v>2025</v>
      </c>
      <c r="B347" t="s">
        <v>58</v>
      </c>
      <c r="C347" t="s">
        <v>10</v>
      </c>
      <c r="D347" s="1">
        <v>9128</v>
      </c>
      <c r="E347" s="1">
        <v>106752</v>
      </c>
      <c r="F347" s="2">
        <v>45479</v>
      </c>
    </row>
    <row r="348" spans="1:6" x14ac:dyDescent="0.75">
      <c r="A348">
        <v>2025</v>
      </c>
      <c r="B348" t="s">
        <v>58</v>
      </c>
      <c r="C348" t="s">
        <v>11</v>
      </c>
      <c r="D348" s="1">
        <v>39684</v>
      </c>
      <c r="E348" s="1">
        <v>882088</v>
      </c>
      <c r="F348" s="2">
        <v>55678</v>
      </c>
    </row>
    <row r="349" spans="1:6" x14ac:dyDescent="0.75">
      <c r="A349">
        <v>2025</v>
      </c>
      <c r="B349" t="s">
        <v>58</v>
      </c>
      <c r="C349" t="s">
        <v>12</v>
      </c>
      <c r="D349" s="1">
        <v>16899</v>
      </c>
      <c r="E349" s="1">
        <v>451743</v>
      </c>
      <c r="F349" s="2">
        <v>52802</v>
      </c>
    </row>
    <row r="350" spans="1:6" x14ac:dyDescent="0.75">
      <c r="A350">
        <v>2025</v>
      </c>
      <c r="B350" t="s">
        <v>58</v>
      </c>
      <c r="C350" t="s">
        <v>13</v>
      </c>
      <c r="D350" s="1">
        <v>13294</v>
      </c>
      <c r="E350" s="1">
        <v>209301</v>
      </c>
      <c r="F350" s="2">
        <v>47222</v>
      </c>
    </row>
    <row r="351" spans="1:6" x14ac:dyDescent="0.75">
      <c r="A351">
        <v>2025</v>
      </c>
      <c r="B351" t="s">
        <v>58</v>
      </c>
      <c r="C351" t="s">
        <v>14</v>
      </c>
      <c r="D351" s="1">
        <v>10330</v>
      </c>
      <c r="E351" s="1">
        <v>194569</v>
      </c>
      <c r="F351" s="2">
        <v>48486</v>
      </c>
    </row>
    <row r="352" spans="1:6" x14ac:dyDescent="0.75">
      <c r="A352">
        <v>2025</v>
      </c>
      <c r="B352" t="s">
        <v>58</v>
      </c>
      <c r="C352" t="s">
        <v>15</v>
      </c>
      <c r="D352" s="1">
        <v>20809</v>
      </c>
      <c r="E352" s="1">
        <v>263195</v>
      </c>
      <c r="F352" s="2">
        <v>52098</v>
      </c>
    </row>
    <row r="353" spans="1:6" x14ac:dyDescent="0.75">
      <c r="A353">
        <v>2025</v>
      </c>
      <c r="B353" t="s">
        <v>58</v>
      </c>
      <c r="C353" t="s">
        <v>16</v>
      </c>
      <c r="D353" s="1">
        <v>16834</v>
      </c>
      <c r="E353" s="1">
        <v>296324</v>
      </c>
      <c r="F353" s="2">
        <v>48222</v>
      </c>
    </row>
    <row r="354" spans="1:6" x14ac:dyDescent="0.75">
      <c r="A354">
        <v>2025</v>
      </c>
      <c r="B354" t="s">
        <v>58</v>
      </c>
      <c r="C354" t="s">
        <v>17</v>
      </c>
      <c r="D354" s="1">
        <v>5591</v>
      </c>
      <c r="E354" s="1">
        <v>115511</v>
      </c>
      <c r="F354" s="2">
        <v>53739</v>
      </c>
    </row>
    <row r="355" spans="1:6" x14ac:dyDescent="0.75">
      <c r="A355">
        <v>2025</v>
      </c>
      <c r="B355" t="s">
        <v>58</v>
      </c>
      <c r="C355" t="s">
        <v>18</v>
      </c>
      <c r="D355" s="1">
        <v>21505</v>
      </c>
      <c r="E355" s="1">
        <v>420463</v>
      </c>
      <c r="F355" s="2">
        <v>59854</v>
      </c>
    </row>
    <row r="356" spans="1:6" x14ac:dyDescent="0.75">
      <c r="A356">
        <v>2025</v>
      </c>
      <c r="B356" t="s">
        <v>58</v>
      </c>
      <c r="C356" t="s">
        <v>19</v>
      </c>
      <c r="D356" s="1">
        <v>71270</v>
      </c>
      <c r="E356" s="1">
        <v>742606</v>
      </c>
      <c r="F356" s="2">
        <v>64556</v>
      </c>
    </row>
    <row r="357" spans="1:6" x14ac:dyDescent="0.75">
      <c r="A357">
        <v>2025</v>
      </c>
      <c r="B357" t="s">
        <v>58</v>
      </c>
      <c r="C357" t="s">
        <v>20</v>
      </c>
      <c r="D357" s="1">
        <v>32965</v>
      </c>
      <c r="E357" s="1">
        <v>622119</v>
      </c>
      <c r="F357" s="2">
        <v>54163</v>
      </c>
    </row>
    <row r="358" spans="1:6" x14ac:dyDescent="0.75">
      <c r="A358">
        <v>2025</v>
      </c>
      <c r="B358" t="s">
        <v>58</v>
      </c>
      <c r="C358" t="s">
        <v>21</v>
      </c>
      <c r="D358" s="1">
        <v>22985</v>
      </c>
      <c r="E358" s="1">
        <v>513228</v>
      </c>
      <c r="F358" s="2">
        <v>55127</v>
      </c>
    </row>
    <row r="359" spans="1:6" x14ac:dyDescent="0.75">
      <c r="A359">
        <v>2025</v>
      </c>
      <c r="B359" t="s">
        <v>58</v>
      </c>
      <c r="C359" t="s">
        <v>22</v>
      </c>
      <c r="D359" s="1">
        <v>7693</v>
      </c>
      <c r="E359" s="1">
        <v>138876</v>
      </c>
      <c r="F359" s="2">
        <v>45670</v>
      </c>
    </row>
    <row r="360" spans="1:6" x14ac:dyDescent="0.75">
      <c r="A360">
        <v>2025</v>
      </c>
      <c r="B360" t="s">
        <v>58</v>
      </c>
      <c r="C360" t="s">
        <v>23</v>
      </c>
      <c r="D360" s="1">
        <v>56134</v>
      </c>
      <c r="E360" s="1">
        <v>448355</v>
      </c>
      <c r="F360" s="2">
        <v>50460</v>
      </c>
    </row>
    <row r="361" spans="1:6" x14ac:dyDescent="0.75">
      <c r="A361">
        <v>2025</v>
      </c>
      <c r="B361" t="s">
        <v>58</v>
      </c>
      <c r="C361" t="s">
        <v>24</v>
      </c>
      <c r="D361" s="1">
        <v>5112</v>
      </c>
      <c r="E361" s="1">
        <v>73374</v>
      </c>
      <c r="F361" s="2">
        <v>52612</v>
      </c>
    </row>
    <row r="362" spans="1:6" x14ac:dyDescent="0.75">
      <c r="A362">
        <v>2025</v>
      </c>
      <c r="B362" t="s">
        <v>58</v>
      </c>
      <c r="C362" t="s">
        <v>25</v>
      </c>
      <c r="D362" s="1">
        <v>10522</v>
      </c>
      <c r="E362" s="1">
        <v>135205</v>
      </c>
      <c r="F362" s="2">
        <v>51740</v>
      </c>
    </row>
    <row r="363" spans="1:6" x14ac:dyDescent="0.75">
      <c r="A363">
        <v>2025</v>
      </c>
      <c r="B363" t="s">
        <v>58</v>
      </c>
      <c r="C363" t="s">
        <v>26</v>
      </c>
      <c r="D363" s="1">
        <v>9126</v>
      </c>
      <c r="E363" s="1">
        <v>139696</v>
      </c>
      <c r="F363" s="2">
        <v>58047</v>
      </c>
    </row>
    <row r="364" spans="1:6" x14ac:dyDescent="0.75">
      <c r="A364">
        <v>2025</v>
      </c>
      <c r="B364" t="s">
        <v>58</v>
      </c>
      <c r="C364" t="s">
        <v>27</v>
      </c>
      <c r="D364" s="1">
        <v>4900</v>
      </c>
      <c r="E364" s="1">
        <v>108757</v>
      </c>
      <c r="F364" s="2">
        <v>63675</v>
      </c>
    </row>
    <row r="365" spans="1:6" x14ac:dyDescent="0.75">
      <c r="A365">
        <v>2025</v>
      </c>
      <c r="B365" t="s">
        <v>58</v>
      </c>
      <c r="C365" t="s">
        <v>28</v>
      </c>
      <c r="D365" s="1">
        <v>43568</v>
      </c>
      <c r="E365" s="1">
        <v>622420</v>
      </c>
      <c r="F365" s="2">
        <v>60044</v>
      </c>
    </row>
    <row r="366" spans="1:6" x14ac:dyDescent="0.75">
      <c r="A366">
        <v>2025</v>
      </c>
      <c r="B366" t="s">
        <v>58</v>
      </c>
      <c r="C366" t="s">
        <v>29</v>
      </c>
      <c r="D366" s="1">
        <v>11448</v>
      </c>
      <c r="E366" s="1">
        <v>126459</v>
      </c>
      <c r="F366" s="2">
        <v>45191</v>
      </c>
    </row>
    <row r="367" spans="1:6" x14ac:dyDescent="0.75">
      <c r="A367">
        <v>2025</v>
      </c>
      <c r="B367" t="s">
        <v>58</v>
      </c>
      <c r="C367" t="s">
        <v>30</v>
      </c>
      <c r="D367" s="1">
        <v>67893</v>
      </c>
      <c r="E367" s="1">
        <v>1872526</v>
      </c>
      <c r="F367" s="2">
        <v>58936</v>
      </c>
    </row>
    <row r="368" spans="1:6" x14ac:dyDescent="0.75">
      <c r="A368">
        <v>2025</v>
      </c>
      <c r="B368" t="s">
        <v>58</v>
      </c>
      <c r="C368" t="s">
        <v>31</v>
      </c>
      <c r="D368" s="1">
        <v>29514</v>
      </c>
      <c r="E368" s="1">
        <v>584896</v>
      </c>
      <c r="F368" s="2">
        <v>53252</v>
      </c>
    </row>
    <row r="369" spans="1:6" x14ac:dyDescent="0.75">
      <c r="A369">
        <v>2025</v>
      </c>
      <c r="B369" t="s">
        <v>58</v>
      </c>
      <c r="C369" t="s">
        <v>32</v>
      </c>
      <c r="D369" s="1">
        <v>2737</v>
      </c>
      <c r="E369" s="1">
        <v>64418</v>
      </c>
      <c r="F369" s="2">
        <v>55234</v>
      </c>
    </row>
    <row r="370" spans="1:6" x14ac:dyDescent="0.75">
      <c r="A370">
        <v>2025</v>
      </c>
      <c r="B370" t="s">
        <v>58</v>
      </c>
      <c r="C370" t="s">
        <v>33</v>
      </c>
      <c r="D370" s="1">
        <v>35930</v>
      </c>
      <c r="E370" s="1">
        <v>868191</v>
      </c>
      <c r="F370" s="2">
        <v>51366</v>
      </c>
    </row>
    <row r="371" spans="1:6" x14ac:dyDescent="0.75">
      <c r="A371">
        <v>2025</v>
      </c>
      <c r="B371" t="s">
        <v>58</v>
      </c>
      <c r="C371" t="s">
        <v>34</v>
      </c>
      <c r="D371" s="1">
        <v>13656</v>
      </c>
      <c r="E371" s="1">
        <v>209679</v>
      </c>
      <c r="F371" s="2">
        <v>49095</v>
      </c>
    </row>
    <row r="372" spans="1:6" x14ac:dyDescent="0.75">
      <c r="A372">
        <v>2025</v>
      </c>
      <c r="B372" t="s">
        <v>58</v>
      </c>
      <c r="C372" t="s">
        <v>35</v>
      </c>
      <c r="D372" s="1">
        <v>28106</v>
      </c>
      <c r="E372" s="1">
        <v>292631</v>
      </c>
      <c r="F372" s="2">
        <v>54216</v>
      </c>
    </row>
    <row r="373" spans="1:6" x14ac:dyDescent="0.75">
      <c r="A373">
        <v>2025</v>
      </c>
      <c r="B373" t="s">
        <v>58</v>
      </c>
      <c r="C373" t="s">
        <v>36</v>
      </c>
      <c r="D373" s="1">
        <v>57935</v>
      </c>
      <c r="E373" s="1">
        <v>1179840</v>
      </c>
      <c r="F373" s="2">
        <v>57087</v>
      </c>
    </row>
    <row r="374" spans="1:6" x14ac:dyDescent="0.75">
      <c r="A374">
        <v>2025</v>
      </c>
      <c r="B374" t="s">
        <v>58</v>
      </c>
      <c r="C374" t="s">
        <v>37</v>
      </c>
      <c r="D374" s="1">
        <v>4907</v>
      </c>
      <c r="E374" s="1">
        <v>95079</v>
      </c>
      <c r="F374" s="2">
        <v>54510</v>
      </c>
    </row>
    <row r="375" spans="1:6" x14ac:dyDescent="0.75">
      <c r="A375">
        <v>2025</v>
      </c>
      <c r="B375" t="s">
        <v>58</v>
      </c>
      <c r="C375" t="s">
        <v>38</v>
      </c>
      <c r="D375" s="1">
        <v>15612</v>
      </c>
      <c r="E375" s="1">
        <v>231072</v>
      </c>
      <c r="F375" s="2">
        <v>50055</v>
      </c>
    </row>
    <row r="376" spans="1:6" x14ac:dyDescent="0.75">
      <c r="A376">
        <v>2025</v>
      </c>
      <c r="B376" t="s">
        <v>58</v>
      </c>
      <c r="C376" t="s">
        <v>39</v>
      </c>
      <c r="D376" s="1">
        <v>2934</v>
      </c>
      <c r="E376" s="1">
        <v>68990</v>
      </c>
      <c r="F376" s="2">
        <v>57054</v>
      </c>
    </row>
    <row r="377" spans="1:6" x14ac:dyDescent="0.75">
      <c r="A377">
        <v>2025</v>
      </c>
      <c r="B377" t="s">
        <v>58</v>
      </c>
      <c r="C377" t="s">
        <v>40</v>
      </c>
      <c r="D377" s="1">
        <v>21213</v>
      </c>
      <c r="E377" s="1">
        <v>421097</v>
      </c>
      <c r="F377" s="2">
        <v>56401</v>
      </c>
    </row>
    <row r="378" spans="1:6" x14ac:dyDescent="0.75">
      <c r="A378">
        <v>2025</v>
      </c>
      <c r="B378" t="s">
        <v>58</v>
      </c>
      <c r="C378" t="s">
        <v>41</v>
      </c>
      <c r="D378" s="1">
        <v>98681</v>
      </c>
      <c r="E378" s="1">
        <v>1646144</v>
      </c>
      <c r="F378" s="2">
        <v>51856</v>
      </c>
    </row>
    <row r="379" spans="1:6" x14ac:dyDescent="0.75">
      <c r="A379">
        <v>2025</v>
      </c>
      <c r="B379" t="s">
        <v>58</v>
      </c>
      <c r="C379" t="s">
        <v>42</v>
      </c>
      <c r="D379" s="1">
        <v>13463</v>
      </c>
      <c r="E379" s="1">
        <v>193157</v>
      </c>
      <c r="F379" s="2">
        <v>48260</v>
      </c>
    </row>
    <row r="380" spans="1:6" x14ac:dyDescent="0.75">
      <c r="A380">
        <v>2025</v>
      </c>
      <c r="B380" t="s">
        <v>58</v>
      </c>
      <c r="C380" t="s">
        <v>43</v>
      </c>
      <c r="D380" s="1">
        <v>2516</v>
      </c>
      <c r="E380" s="1">
        <v>58443</v>
      </c>
      <c r="F380" s="2">
        <v>52779</v>
      </c>
    </row>
    <row r="381" spans="1:6" x14ac:dyDescent="0.75">
      <c r="A381">
        <v>2025</v>
      </c>
      <c r="B381" t="s">
        <v>58</v>
      </c>
      <c r="C381" t="s">
        <v>44</v>
      </c>
      <c r="D381" s="1">
        <v>49705</v>
      </c>
      <c r="E381" s="1">
        <v>492598</v>
      </c>
      <c r="F381" s="2">
        <v>54119</v>
      </c>
    </row>
    <row r="382" spans="1:6" x14ac:dyDescent="0.75">
      <c r="A382">
        <v>2025</v>
      </c>
      <c r="B382" t="s">
        <v>58</v>
      </c>
      <c r="C382" t="s">
        <v>45</v>
      </c>
      <c r="D382" s="1">
        <v>74944</v>
      </c>
      <c r="E382" s="1">
        <v>468495</v>
      </c>
      <c r="F382" s="2">
        <v>55544</v>
      </c>
    </row>
    <row r="383" spans="1:6" x14ac:dyDescent="0.75">
      <c r="A383">
        <v>2025</v>
      </c>
      <c r="B383" t="s">
        <v>58</v>
      </c>
      <c r="C383" t="s">
        <v>46</v>
      </c>
      <c r="D383" s="1">
        <v>8500</v>
      </c>
      <c r="E383" s="1">
        <v>124604</v>
      </c>
      <c r="F383" s="2">
        <v>50597</v>
      </c>
    </row>
    <row r="384" spans="1:6" x14ac:dyDescent="0.75">
      <c r="A384">
        <v>2025</v>
      </c>
      <c r="B384" t="s">
        <v>58</v>
      </c>
      <c r="C384" t="s">
        <v>47</v>
      </c>
      <c r="D384" s="1">
        <v>31125</v>
      </c>
      <c r="E384" s="1">
        <v>427152</v>
      </c>
      <c r="F384" s="2">
        <v>52993</v>
      </c>
    </row>
    <row r="385" spans="1:6" x14ac:dyDescent="0.75">
      <c r="A385">
        <v>2025</v>
      </c>
      <c r="B385" t="s">
        <v>58</v>
      </c>
      <c r="C385" t="s">
        <v>48</v>
      </c>
      <c r="D385" s="1">
        <v>3485</v>
      </c>
      <c r="E385" s="1">
        <v>26942</v>
      </c>
      <c r="F385" s="2">
        <v>46334</v>
      </c>
    </row>
    <row r="386" spans="1:6" x14ac:dyDescent="0.75">
      <c r="A386">
        <v>2025</v>
      </c>
      <c r="B386" t="s">
        <v>59</v>
      </c>
      <c r="C386" t="s">
        <v>1</v>
      </c>
      <c r="D386" s="1">
        <v>11221</v>
      </c>
      <c r="E386" s="1">
        <v>178057</v>
      </c>
      <c r="F386" s="2">
        <v>18554</v>
      </c>
    </row>
    <row r="387" spans="1:6" x14ac:dyDescent="0.75">
      <c r="A387">
        <v>2025</v>
      </c>
      <c r="B387" t="s">
        <v>59</v>
      </c>
      <c r="C387" t="s">
        <v>2</v>
      </c>
      <c r="D387" s="1">
        <v>14444</v>
      </c>
      <c r="E387" s="1">
        <v>274985</v>
      </c>
      <c r="F387" s="2">
        <v>26810</v>
      </c>
    </row>
    <row r="388" spans="1:6" x14ac:dyDescent="0.75">
      <c r="A388">
        <v>2025</v>
      </c>
      <c r="B388" t="s">
        <v>59</v>
      </c>
      <c r="C388" t="s">
        <v>3</v>
      </c>
      <c r="D388" s="1">
        <v>7458</v>
      </c>
      <c r="E388" s="1">
        <v>106295</v>
      </c>
      <c r="F388" s="2">
        <v>18414</v>
      </c>
    </row>
    <row r="389" spans="1:6" x14ac:dyDescent="0.75">
      <c r="A389">
        <v>2025</v>
      </c>
      <c r="B389" t="s">
        <v>59</v>
      </c>
      <c r="C389" t="s">
        <v>4</v>
      </c>
      <c r="D389" s="1">
        <v>117833</v>
      </c>
      <c r="E389" s="1">
        <v>1482600</v>
      </c>
      <c r="F389" s="2">
        <v>36090</v>
      </c>
    </row>
    <row r="390" spans="1:6" x14ac:dyDescent="0.75">
      <c r="A390">
        <v>2025</v>
      </c>
      <c r="B390" t="s">
        <v>59</v>
      </c>
      <c r="C390" t="s">
        <v>5</v>
      </c>
      <c r="D390" s="1">
        <v>17650</v>
      </c>
      <c r="E390" s="1">
        <v>271680</v>
      </c>
      <c r="F390" s="2">
        <v>28424</v>
      </c>
    </row>
    <row r="391" spans="1:6" x14ac:dyDescent="0.75">
      <c r="A391">
        <v>2025</v>
      </c>
      <c r="B391" t="s">
        <v>59</v>
      </c>
      <c r="C391" t="s">
        <v>6</v>
      </c>
      <c r="D391" s="1">
        <v>10916</v>
      </c>
      <c r="E391" s="1">
        <v>117365</v>
      </c>
      <c r="F391" s="2">
        <v>26295</v>
      </c>
    </row>
    <row r="392" spans="1:6" x14ac:dyDescent="0.75">
      <c r="A392">
        <v>2025</v>
      </c>
      <c r="B392" t="s">
        <v>59</v>
      </c>
      <c r="C392" t="s">
        <v>7</v>
      </c>
      <c r="D392" s="1">
        <v>2698</v>
      </c>
      <c r="E392" s="1">
        <v>41103</v>
      </c>
      <c r="F392" s="2">
        <v>22228</v>
      </c>
    </row>
    <row r="393" spans="1:6" x14ac:dyDescent="0.75">
      <c r="A393">
        <v>2025</v>
      </c>
      <c r="B393" t="s">
        <v>59</v>
      </c>
      <c r="C393" t="s">
        <v>8</v>
      </c>
      <c r="D393" s="1">
        <v>59645</v>
      </c>
      <c r="E393" s="1">
        <v>1007574</v>
      </c>
      <c r="F393" s="2">
        <v>27709</v>
      </c>
    </row>
    <row r="394" spans="1:6" x14ac:dyDescent="0.75">
      <c r="A394">
        <v>2025</v>
      </c>
      <c r="B394" t="s">
        <v>59</v>
      </c>
      <c r="C394" t="s">
        <v>9</v>
      </c>
      <c r="D394" s="1">
        <v>26741</v>
      </c>
      <c r="E394" s="1">
        <v>414059</v>
      </c>
      <c r="F394" s="2">
        <v>22009</v>
      </c>
    </row>
    <row r="395" spans="1:6" x14ac:dyDescent="0.75">
      <c r="A395">
        <v>2025</v>
      </c>
      <c r="B395" t="s">
        <v>59</v>
      </c>
      <c r="C395" t="s">
        <v>10</v>
      </c>
      <c r="D395" s="1">
        <v>5242</v>
      </c>
      <c r="E395" s="1">
        <v>74574</v>
      </c>
      <c r="F395" s="2">
        <v>18637</v>
      </c>
    </row>
    <row r="396" spans="1:6" x14ac:dyDescent="0.75">
      <c r="A396">
        <v>2025</v>
      </c>
      <c r="B396" t="s">
        <v>59</v>
      </c>
      <c r="C396" t="s">
        <v>11</v>
      </c>
      <c r="D396" s="1">
        <v>32842</v>
      </c>
      <c r="E396" s="1">
        <v>462216</v>
      </c>
      <c r="F396" s="2">
        <v>25054</v>
      </c>
    </row>
    <row r="397" spans="1:6" x14ac:dyDescent="0.75">
      <c r="A397">
        <v>2025</v>
      </c>
      <c r="B397" t="s">
        <v>59</v>
      </c>
      <c r="C397" t="s">
        <v>12</v>
      </c>
      <c r="D397" s="1">
        <v>16068</v>
      </c>
      <c r="E397" s="1">
        <v>263892</v>
      </c>
      <c r="F397" s="2">
        <v>20493</v>
      </c>
    </row>
    <row r="398" spans="1:6" x14ac:dyDescent="0.75">
      <c r="A398">
        <v>2025</v>
      </c>
      <c r="B398" t="s">
        <v>59</v>
      </c>
      <c r="C398" t="s">
        <v>13</v>
      </c>
      <c r="D398" s="1">
        <v>8734</v>
      </c>
      <c r="E398" s="1">
        <v>118383</v>
      </c>
      <c r="F398" s="2">
        <v>18002</v>
      </c>
    </row>
    <row r="399" spans="1:6" x14ac:dyDescent="0.75">
      <c r="A399">
        <v>2025</v>
      </c>
      <c r="B399" t="s">
        <v>59</v>
      </c>
      <c r="C399" t="s">
        <v>14</v>
      </c>
      <c r="D399" s="1">
        <v>6792</v>
      </c>
      <c r="E399" s="1">
        <v>110526</v>
      </c>
      <c r="F399" s="2">
        <v>18088</v>
      </c>
    </row>
    <row r="400" spans="1:6" x14ac:dyDescent="0.75">
      <c r="A400">
        <v>2025</v>
      </c>
      <c r="B400" t="s">
        <v>59</v>
      </c>
      <c r="C400" t="s">
        <v>15</v>
      </c>
      <c r="D400" s="1">
        <v>10331</v>
      </c>
      <c r="E400" s="1">
        <v>165335</v>
      </c>
      <c r="F400" s="2">
        <v>19522</v>
      </c>
    </row>
    <row r="401" spans="1:6" x14ac:dyDescent="0.75">
      <c r="A401">
        <v>2025</v>
      </c>
      <c r="B401" t="s">
        <v>59</v>
      </c>
      <c r="C401" t="s">
        <v>16</v>
      </c>
      <c r="D401" s="1">
        <v>13351</v>
      </c>
      <c r="E401" s="1">
        <v>188383</v>
      </c>
      <c r="F401" s="2">
        <v>22216</v>
      </c>
    </row>
    <row r="402" spans="1:6" x14ac:dyDescent="0.75">
      <c r="A402">
        <v>2025</v>
      </c>
      <c r="B402" t="s">
        <v>59</v>
      </c>
      <c r="C402" t="s">
        <v>17</v>
      </c>
      <c r="D402" s="1">
        <v>5172</v>
      </c>
      <c r="E402" s="1">
        <v>51781</v>
      </c>
      <c r="F402" s="2">
        <v>25112</v>
      </c>
    </row>
    <row r="403" spans="1:6" x14ac:dyDescent="0.75">
      <c r="A403">
        <v>2025</v>
      </c>
      <c r="B403" t="s">
        <v>59</v>
      </c>
      <c r="C403" t="s">
        <v>18</v>
      </c>
      <c r="D403" s="1">
        <v>14823</v>
      </c>
      <c r="E403" s="1">
        <v>210848</v>
      </c>
      <c r="F403" s="2">
        <v>26383</v>
      </c>
    </row>
    <row r="404" spans="1:6" x14ac:dyDescent="0.75">
      <c r="A404">
        <v>2025</v>
      </c>
      <c r="B404" t="s">
        <v>59</v>
      </c>
      <c r="C404" t="s">
        <v>19</v>
      </c>
      <c r="D404" s="1">
        <v>20158</v>
      </c>
      <c r="E404" s="1">
        <v>262049</v>
      </c>
      <c r="F404" s="2">
        <v>30457</v>
      </c>
    </row>
    <row r="405" spans="1:6" x14ac:dyDescent="0.75">
      <c r="A405">
        <v>2025</v>
      </c>
      <c r="B405" t="s">
        <v>59</v>
      </c>
      <c r="C405" t="s">
        <v>20</v>
      </c>
      <c r="D405" s="1">
        <v>23032</v>
      </c>
      <c r="E405" s="1">
        <v>323435</v>
      </c>
      <c r="F405" s="2">
        <v>22254</v>
      </c>
    </row>
    <row r="406" spans="1:6" x14ac:dyDescent="0.75">
      <c r="A406">
        <v>2025</v>
      </c>
      <c r="B406" t="s">
        <v>59</v>
      </c>
      <c r="C406" t="s">
        <v>21</v>
      </c>
      <c r="D406" s="1">
        <v>15355</v>
      </c>
      <c r="E406" s="1">
        <v>204519</v>
      </c>
      <c r="F406" s="2">
        <v>24167</v>
      </c>
    </row>
    <row r="407" spans="1:6" x14ac:dyDescent="0.75">
      <c r="A407">
        <v>2025</v>
      </c>
      <c r="B407" t="s">
        <v>59</v>
      </c>
      <c r="C407" t="s">
        <v>22</v>
      </c>
      <c r="D407" s="1">
        <v>6644</v>
      </c>
      <c r="E407" s="1">
        <v>118107</v>
      </c>
      <c r="F407" s="2">
        <v>18380</v>
      </c>
    </row>
    <row r="408" spans="1:6" x14ac:dyDescent="0.75">
      <c r="A408">
        <v>2025</v>
      </c>
      <c r="B408" t="s">
        <v>59</v>
      </c>
      <c r="C408" t="s">
        <v>23</v>
      </c>
      <c r="D408" s="1">
        <v>15398</v>
      </c>
      <c r="E408" s="1">
        <v>253244</v>
      </c>
      <c r="F408" s="2">
        <v>22154</v>
      </c>
    </row>
    <row r="409" spans="1:6" x14ac:dyDescent="0.75">
      <c r="A409">
        <v>2025</v>
      </c>
      <c r="B409" t="s">
        <v>59</v>
      </c>
      <c r="C409" t="s">
        <v>24</v>
      </c>
      <c r="D409" s="1">
        <v>5182</v>
      </c>
      <c r="E409" s="1">
        <v>58811</v>
      </c>
      <c r="F409" s="2">
        <v>21078</v>
      </c>
    </row>
    <row r="410" spans="1:6" x14ac:dyDescent="0.75">
      <c r="A410">
        <v>2025</v>
      </c>
      <c r="B410" t="s">
        <v>59</v>
      </c>
      <c r="C410" t="s">
        <v>25</v>
      </c>
      <c r="D410" s="1">
        <v>5552</v>
      </c>
      <c r="E410" s="1">
        <v>79529</v>
      </c>
      <c r="F410" s="2">
        <v>18131</v>
      </c>
    </row>
    <row r="411" spans="1:6" x14ac:dyDescent="0.75">
      <c r="A411">
        <v>2025</v>
      </c>
      <c r="B411" t="s">
        <v>59</v>
      </c>
      <c r="C411" t="s">
        <v>26</v>
      </c>
      <c r="D411" s="1">
        <v>8698</v>
      </c>
      <c r="E411" s="1">
        <v>255447</v>
      </c>
      <c r="F411" s="2">
        <v>34061</v>
      </c>
    </row>
    <row r="412" spans="1:6" x14ac:dyDescent="0.75">
      <c r="A412">
        <v>2025</v>
      </c>
      <c r="B412" t="s">
        <v>59</v>
      </c>
      <c r="C412" t="s">
        <v>27</v>
      </c>
      <c r="D412" s="1">
        <v>4677</v>
      </c>
      <c r="E412" s="1">
        <v>57132</v>
      </c>
      <c r="F412" s="2">
        <v>24729</v>
      </c>
    </row>
    <row r="413" spans="1:6" x14ac:dyDescent="0.75">
      <c r="A413">
        <v>2025</v>
      </c>
      <c r="B413" t="s">
        <v>59</v>
      </c>
      <c r="C413" t="s">
        <v>28</v>
      </c>
      <c r="D413" s="1">
        <v>24584</v>
      </c>
      <c r="E413" s="1">
        <v>281546</v>
      </c>
      <c r="F413" s="2">
        <v>28639</v>
      </c>
    </row>
    <row r="414" spans="1:6" x14ac:dyDescent="0.75">
      <c r="A414">
        <v>2025</v>
      </c>
      <c r="B414" t="s">
        <v>59</v>
      </c>
      <c r="C414" t="s">
        <v>29</v>
      </c>
      <c r="D414" s="1">
        <v>5276</v>
      </c>
      <c r="E414" s="1">
        <v>78539</v>
      </c>
      <c r="F414" s="2">
        <v>19988</v>
      </c>
    </row>
    <row r="415" spans="1:6" x14ac:dyDescent="0.75">
      <c r="A415">
        <v>2025</v>
      </c>
      <c r="B415" t="s">
        <v>59</v>
      </c>
      <c r="C415" t="s">
        <v>30</v>
      </c>
      <c r="D415" s="1">
        <v>64959</v>
      </c>
      <c r="E415" s="1">
        <v>632760</v>
      </c>
      <c r="F415" s="2">
        <v>36986</v>
      </c>
    </row>
    <row r="416" spans="1:6" x14ac:dyDescent="0.75">
      <c r="A416">
        <v>2025</v>
      </c>
      <c r="B416" t="s">
        <v>59</v>
      </c>
      <c r="C416" t="s">
        <v>31</v>
      </c>
      <c r="D416" s="1">
        <v>27015</v>
      </c>
      <c r="E416" s="1">
        <v>420420</v>
      </c>
      <c r="F416" s="2">
        <v>21462</v>
      </c>
    </row>
    <row r="417" spans="1:6" x14ac:dyDescent="0.75">
      <c r="A417">
        <v>2025</v>
      </c>
      <c r="B417" t="s">
        <v>59</v>
      </c>
      <c r="C417" t="s">
        <v>32</v>
      </c>
      <c r="D417" s="1">
        <v>2621</v>
      </c>
      <c r="E417" s="1">
        <v>34228</v>
      </c>
      <c r="F417" s="2">
        <v>19193</v>
      </c>
    </row>
    <row r="418" spans="1:6" x14ac:dyDescent="0.75">
      <c r="A418">
        <v>2025</v>
      </c>
      <c r="B418" t="s">
        <v>59</v>
      </c>
      <c r="C418" t="s">
        <v>33</v>
      </c>
      <c r="D418" s="1">
        <v>29197</v>
      </c>
      <c r="E418" s="1">
        <v>466069</v>
      </c>
      <c r="F418" s="2">
        <v>21027</v>
      </c>
    </row>
    <row r="419" spans="1:6" x14ac:dyDescent="0.75">
      <c r="A419">
        <v>2025</v>
      </c>
      <c r="B419" t="s">
        <v>59</v>
      </c>
      <c r="C419" t="s">
        <v>34</v>
      </c>
      <c r="D419" s="1">
        <v>9364</v>
      </c>
      <c r="E419" s="1">
        <v>156230</v>
      </c>
      <c r="F419" s="2">
        <v>19310</v>
      </c>
    </row>
    <row r="420" spans="1:6" x14ac:dyDescent="0.75">
      <c r="A420">
        <v>2025</v>
      </c>
      <c r="B420" t="s">
        <v>59</v>
      </c>
      <c r="C420" t="s">
        <v>35</v>
      </c>
      <c r="D420" s="1">
        <v>13993</v>
      </c>
      <c r="E420" s="1">
        <v>161570</v>
      </c>
      <c r="F420" s="2">
        <v>24338</v>
      </c>
    </row>
    <row r="421" spans="1:6" x14ac:dyDescent="0.75">
      <c r="A421">
        <v>2025</v>
      </c>
      <c r="B421" t="s">
        <v>59</v>
      </c>
      <c r="C421" t="s">
        <v>36</v>
      </c>
      <c r="D421" s="1">
        <v>33532</v>
      </c>
      <c r="E421" s="1">
        <v>424092</v>
      </c>
      <c r="F421" s="2">
        <v>22945</v>
      </c>
    </row>
    <row r="422" spans="1:6" x14ac:dyDescent="0.75">
      <c r="A422">
        <v>2025</v>
      </c>
      <c r="B422" t="s">
        <v>59</v>
      </c>
      <c r="C422" t="s">
        <v>37</v>
      </c>
      <c r="D422" s="1">
        <v>3890</v>
      </c>
      <c r="E422" s="1">
        <v>44621</v>
      </c>
      <c r="F422" s="2">
        <v>24733</v>
      </c>
    </row>
    <row r="423" spans="1:6" x14ac:dyDescent="0.75">
      <c r="A423">
        <v>2025</v>
      </c>
      <c r="B423" t="s">
        <v>59</v>
      </c>
      <c r="C423" t="s">
        <v>38</v>
      </c>
      <c r="D423" s="1">
        <v>13676</v>
      </c>
      <c r="E423" s="1">
        <v>226959</v>
      </c>
      <c r="F423" s="2">
        <v>19677</v>
      </c>
    </row>
    <row r="424" spans="1:6" x14ac:dyDescent="0.75">
      <c r="A424">
        <v>2025</v>
      </c>
      <c r="B424" t="s">
        <v>59</v>
      </c>
      <c r="C424" t="s">
        <v>39</v>
      </c>
      <c r="D424" s="1">
        <v>3184</v>
      </c>
      <c r="E424" s="1">
        <v>41000</v>
      </c>
      <c r="F424" s="2">
        <v>18829</v>
      </c>
    </row>
    <row r="425" spans="1:6" x14ac:dyDescent="0.75">
      <c r="A425">
        <v>2025</v>
      </c>
      <c r="B425" t="s">
        <v>59</v>
      </c>
      <c r="C425" t="s">
        <v>40</v>
      </c>
      <c r="D425" s="1">
        <v>17443</v>
      </c>
      <c r="E425" s="1">
        <v>293033</v>
      </c>
      <c r="F425" s="2">
        <v>23771</v>
      </c>
    </row>
    <row r="426" spans="1:6" x14ac:dyDescent="0.75">
      <c r="A426">
        <v>2025</v>
      </c>
      <c r="B426" t="s">
        <v>59</v>
      </c>
      <c r="C426" t="s">
        <v>41</v>
      </c>
      <c r="D426" s="1">
        <v>66777</v>
      </c>
      <c r="E426" s="1">
        <v>1178456</v>
      </c>
      <c r="F426" s="2">
        <v>23001</v>
      </c>
    </row>
    <row r="427" spans="1:6" x14ac:dyDescent="0.75">
      <c r="A427">
        <v>2025</v>
      </c>
      <c r="B427" t="s">
        <v>59</v>
      </c>
      <c r="C427" t="s">
        <v>42</v>
      </c>
      <c r="D427" s="1">
        <v>7766</v>
      </c>
      <c r="E427" s="1">
        <v>133375</v>
      </c>
      <c r="F427" s="2">
        <v>21580</v>
      </c>
    </row>
    <row r="428" spans="1:6" x14ac:dyDescent="0.75">
      <c r="A428">
        <v>2025</v>
      </c>
      <c r="B428" t="s">
        <v>59</v>
      </c>
      <c r="C428" t="s">
        <v>43</v>
      </c>
      <c r="D428" s="1">
        <v>2220</v>
      </c>
      <c r="E428" s="1">
        <v>25985</v>
      </c>
      <c r="F428" s="2">
        <v>26068</v>
      </c>
    </row>
    <row r="429" spans="1:6" x14ac:dyDescent="0.75">
      <c r="A429">
        <v>2025</v>
      </c>
      <c r="B429" t="s">
        <v>59</v>
      </c>
      <c r="C429" t="s">
        <v>44</v>
      </c>
      <c r="D429" s="1">
        <v>20954</v>
      </c>
      <c r="E429" s="1">
        <v>322216</v>
      </c>
      <c r="F429" s="2">
        <v>22634</v>
      </c>
    </row>
    <row r="430" spans="1:6" x14ac:dyDescent="0.75">
      <c r="A430">
        <v>2025</v>
      </c>
      <c r="B430" t="s">
        <v>59</v>
      </c>
      <c r="C430" t="s">
        <v>45</v>
      </c>
      <c r="D430" s="1">
        <v>20710</v>
      </c>
      <c r="E430" s="1">
        <v>255412</v>
      </c>
      <c r="F430" s="2">
        <v>26657</v>
      </c>
    </row>
    <row r="431" spans="1:6" x14ac:dyDescent="0.75">
      <c r="A431">
        <v>2025</v>
      </c>
      <c r="B431" t="s">
        <v>59</v>
      </c>
      <c r="C431" t="s">
        <v>46</v>
      </c>
      <c r="D431" s="1">
        <v>4602</v>
      </c>
      <c r="E431" s="1">
        <v>61253</v>
      </c>
      <c r="F431" s="2">
        <v>18945</v>
      </c>
    </row>
    <row r="432" spans="1:6" x14ac:dyDescent="0.75">
      <c r="A432">
        <v>2025</v>
      </c>
      <c r="B432" t="s">
        <v>59</v>
      </c>
      <c r="C432" t="s">
        <v>47</v>
      </c>
      <c r="D432" s="1">
        <v>16783</v>
      </c>
      <c r="E432" s="1">
        <v>227495</v>
      </c>
      <c r="F432" s="2">
        <v>19473</v>
      </c>
    </row>
    <row r="433" spans="1:6" x14ac:dyDescent="0.75">
      <c r="A433">
        <v>2025</v>
      </c>
      <c r="B433" t="s">
        <v>59</v>
      </c>
      <c r="C433" t="s">
        <v>48</v>
      </c>
      <c r="D433" s="1">
        <v>2418</v>
      </c>
      <c r="E433" s="1">
        <v>32312</v>
      </c>
      <c r="F433" s="2">
        <v>23041</v>
      </c>
    </row>
    <row r="434" spans="1:6" x14ac:dyDescent="0.75">
      <c r="A434">
        <v>2025</v>
      </c>
      <c r="B434" t="s">
        <v>60</v>
      </c>
      <c r="C434" t="s">
        <v>1</v>
      </c>
      <c r="D434" s="1">
        <v>9048</v>
      </c>
      <c r="E434" s="1">
        <v>42367</v>
      </c>
      <c r="F434" s="2">
        <v>41437</v>
      </c>
    </row>
    <row r="435" spans="1:6" x14ac:dyDescent="0.75">
      <c r="A435">
        <v>2025</v>
      </c>
      <c r="B435" t="s">
        <v>60</v>
      </c>
      <c r="C435" t="s">
        <v>2</v>
      </c>
      <c r="D435" s="1">
        <v>10878</v>
      </c>
      <c r="E435" s="1">
        <v>69183</v>
      </c>
      <c r="F435" s="2">
        <v>42482</v>
      </c>
    </row>
    <row r="436" spans="1:6" x14ac:dyDescent="0.75">
      <c r="A436">
        <v>2025</v>
      </c>
      <c r="B436" t="s">
        <v>60</v>
      </c>
      <c r="C436" t="s">
        <v>3</v>
      </c>
      <c r="D436" s="1">
        <v>5464</v>
      </c>
      <c r="E436" s="1">
        <v>23724</v>
      </c>
      <c r="F436" s="2">
        <v>38111</v>
      </c>
    </row>
    <row r="437" spans="1:6" x14ac:dyDescent="0.75">
      <c r="A437">
        <v>2025</v>
      </c>
      <c r="B437" t="s">
        <v>60</v>
      </c>
      <c r="C437" t="s">
        <v>4</v>
      </c>
      <c r="D437" s="1">
        <v>97116</v>
      </c>
      <c r="E437" s="1">
        <v>452175</v>
      </c>
      <c r="F437" s="2">
        <v>47080</v>
      </c>
    </row>
    <row r="438" spans="1:6" x14ac:dyDescent="0.75">
      <c r="A438">
        <v>2025</v>
      </c>
      <c r="B438" t="s">
        <v>60</v>
      </c>
      <c r="C438" t="s">
        <v>5</v>
      </c>
      <c r="D438" s="1">
        <v>16860</v>
      </c>
      <c r="E438" s="1">
        <v>76766</v>
      </c>
      <c r="F438" s="2">
        <v>45642</v>
      </c>
    </row>
    <row r="439" spans="1:6" x14ac:dyDescent="0.75">
      <c r="A439">
        <v>2025</v>
      </c>
      <c r="B439" t="s">
        <v>60</v>
      </c>
      <c r="C439" t="s">
        <v>6</v>
      </c>
      <c r="D439" s="1">
        <v>12480</v>
      </c>
      <c r="E439" s="1">
        <v>48120</v>
      </c>
      <c r="F439" s="2">
        <v>42136</v>
      </c>
    </row>
    <row r="440" spans="1:6" x14ac:dyDescent="0.75">
      <c r="A440">
        <v>2025</v>
      </c>
      <c r="B440" t="s">
        <v>60</v>
      </c>
      <c r="C440" t="s">
        <v>7</v>
      </c>
      <c r="D440" s="1">
        <v>2088</v>
      </c>
      <c r="E440" s="1">
        <v>10706</v>
      </c>
      <c r="F440" s="2">
        <v>38135</v>
      </c>
    </row>
    <row r="441" spans="1:6" x14ac:dyDescent="0.75">
      <c r="A441">
        <v>2025</v>
      </c>
      <c r="B441" t="s">
        <v>60</v>
      </c>
      <c r="C441" t="s">
        <v>8</v>
      </c>
      <c r="D441" s="1">
        <v>54871</v>
      </c>
      <c r="E441" s="1">
        <v>254577</v>
      </c>
      <c r="F441" s="2">
        <v>41154</v>
      </c>
    </row>
    <row r="442" spans="1:6" x14ac:dyDescent="0.75">
      <c r="A442">
        <v>2025</v>
      </c>
      <c r="B442" t="s">
        <v>60</v>
      </c>
      <c r="C442" t="s">
        <v>9</v>
      </c>
      <c r="D442" s="1">
        <v>19294</v>
      </c>
      <c r="E442" s="1">
        <v>101509</v>
      </c>
      <c r="F442" s="2">
        <v>41319</v>
      </c>
    </row>
    <row r="443" spans="1:6" x14ac:dyDescent="0.75">
      <c r="A443">
        <v>2025</v>
      </c>
      <c r="B443" t="s">
        <v>60</v>
      </c>
      <c r="C443" t="s">
        <v>10</v>
      </c>
      <c r="D443" s="1">
        <v>4119</v>
      </c>
      <c r="E443" s="1">
        <v>18237</v>
      </c>
      <c r="F443" s="2">
        <v>35029</v>
      </c>
    </row>
    <row r="444" spans="1:6" x14ac:dyDescent="0.75">
      <c r="A444">
        <v>2025</v>
      </c>
      <c r="B444" t="s">
        <v>60</v>
      </c>
      <c r="C444" t="s">
        <v>11</v>
      </c>
      <c r="D444" s="1">
        <v>35477</v>
      </c>
      <c r="E444" s="1">
        <v>184359</v>
      </c>
      <c r="F444" s="2">
        <v>48230</v>
      </c>
    </row>
    <row r="445" spans="1:6" x14ac:dyDescent="0.75">
      <c r="A445">
        <v>2025</v>
      </c>
      <c r="B445" t="s">
        <v>60</v>
      </c>
      <c r="C445" t="s">
        <v>12</v>
      </c>
      <c r="D445" s="1">
        <v>13233</v>
      </c>
      <c r="E445" s="1">
        <v>80627</v>
      </c>
      <c r="F445" s="2">
        <v>36636</v>
      </c>
    </row>
    <row r="446" spans="1:6" x14ac:dyDescent="0.75">
      <c r="A446">
        <v>2025</v>
      </c>
      <c r="B446" t="s">
        <v>60</v>
      </c>
      <c r="C446" t="s">
        <v>13</v>
      </c>
      <c r="D446" s="1">
        <v>7585</v>
      </c>
      <c r="E446" s="1">
        <v>37229</v>
      </c>
      <c r="F446" s="2">
        <v>40163</v>
      </c>
    </row>
    <row r="447" spans="1:6" x14ac:dyDescent="0.75">
      <c r="A447">
        <v>2025</v>
      </c>
      <c r="B447" t="s">
        <v>60</v>
      </c>
      <c r="C447" t="s">
        <v>14</v>
      </c>
      <c r="D447" s="1">
        <v>5873</v>
      </c>
      <c r="E447" s="1">
        <v>31183</v>
      </c>
      <c r="F447" s="2">
        <v>38965</v>
      </c>
    </row>
    <row r="448" spans="1:6" x14ac:dyDescent="0.75">
      <c r="A448">
        <v>2025</v>
      </c>
      <c r="B448" t="s">
        <v>60</v>
      </c>
      <c r="C448" t="s">
        <v>15</v>
      </c>
      <c r="D448" s="1">
        <v>9084</v>
      </c>
      <c r="E448" s="1">
        <v>40228</v>
      </c>
      <c r="F448" s="2">
        <v>38895</v>
      </c>
    </row>
    <row r="449" spans="1:6" x14ac:dyDescent="0.75">
      <c r="A449">
        <v>2025</v>
      </c>
      <c r="B449" t="s">
        <v>60</v>
      </c>
      <c r="C449" t="s">
        <v>16</v>
      </c>
      <c r="D449" s="1">
        <v>9437</v>
      </c>
      <c r="E449" s="1">
        <v>41500</v>
      </c>
      <c r="F449" s="2">
        <v>41226</v>
      </c>
    </row>
    <row r="450" spans="1:6" x14ac:dyDescent="0.75">
      <c r="A450">
        <v>2025</v>
      </c>
      <c r="B450" t="s">
        <v>60</v>
      </c>
      <c r="C450" t="s">
        <v>17</v>
      </c>
      <c r="D450" s="1">
        <v>3830</v>
      </c>
      <c r="E450" s="1">
        <v>16120</v>
      </c>
      <c r="F450" s="2">
        <v>39497</v>
      </c>
    </row>
    <row r="451" spans="1:6" x14ac:dyDescent="0.75">
      <c r="A451">
        <v>2025</v>
      </c>
      <c r="B451" t="s">
        <v>60</v>
      </c>
      <c r="C451" t="s">
        <v>18</v>
      </c>
      <c r="D451" s="1">
        <v>19028</v>
      </c>
      <c r="E451" s="1">
        <v>78236</v>
      </c>
      <c r="F451" s="2">
        <v>48238</v>
      </c>
    </row>
    <row r="452" spans="1:6" x14ac:dyDescent="0.75">
      <c r="A452">
        <v>2025</v>
      </c>
      <c r="B452" t="s">
        <v>60</v>
      </c>
      <c r="C452" t="s">
        <v>19</v>
      </c>
      <c r="D452" s="1">
        <v>21927</v>
      </c>
      <c r="E452" s="1">
        <v>98276</v>
      </c>
      <c r="F452" s="2">
        <v>46345</v>
      </c>
    </row>
    <row r="453" spans="1:6" x14ac:dyDescent="0.75">
      <c r="A453">
        <v>2025</v>
      </c>
      <c r="B453" t="s">
        <v>60</v>
      </c>
      <c r="C453" t="s">
        <v>20</v>
      </c>
      <c r="D453" s="1">
        <v>25486</v>
      </c>
      <c r="E453" s="1">
        <v>114074</v>
      </c>
      <c r="F453" s="2">
        <v>39650</v>
      </c>
    </row>
    <row r="454" spans="1:6" x14ac:dyDescent="0.75">
      <c r="A454">
        <v>2025</v>
      </c>
      <c r="B454" t="s">
        <v>60</v>
      </c>
      <c r="C454" t="s">
        <v>21</v>
      </c>
      <c r="D454" s="1">
        <v>17118</v>
      </c>
      <c r="E454" s="1">
        <v>77083</v>
      </c>
      <c r="F454" s="2">
        <v>39485</v>
      </c>
    </row>
    <row r="455" spans="1:6" x14ac:dyDescent="0.75">
      <c r="A455">
        <v>2025</v>
      </c>
      <c r="B455" t="s">
        <v>60</v>
      </c>
      <c r="C455" t="s">
        <v>22</v>
      </c>
      <c r="D455" s="1">
        <v>4625</v>
      </c>
      <c r="E455" s="1">
        <v>19993</v>
      </c>
      <c r="F455" s="2">
        <v>38520</v>
      </c>
    </row>
    <row r="456" spans="1:6" x14ac:dyDescent="0.75">
      <c r="A456">
        <v>2025</v>
      </c>
      <c r="B456" t="s">
        <v>60</v>
      </c>
      <c r="C456" t="s">
        <v>23</v>
      </c>
      <c r="D456" s="1">
        <v>13399</v>
      </c>
      <c r="E456" s="1">
        <v>68557</v>
      </c>
      <c r="F456" s="2">
        <v>38496</v>
      </c>
    </row>
    <row r="457" spans="1:6" x14ac:dyDescent="0.75">
      <c r="A457">
        <v>2025</v>
      </c>
      <c r="B457" t="s">
        <v>60</v>
      </c>
      <c r="C457" t="s">
        <v>24</v>
      </c>
      <c r="D457" s="1">
        <v>4199</v>
      </c>
      <c r="E457" s="1">
        <v>17236</v>
      </c>
      <c r="F457" s="2">
        <v>34349</v>
      </c>
    </row>
    <row r="458" spans="1:6" x14ac:dyDescent="0.75">
      <c r="A458">
        <v>2025</v>
      </c>
      <c r="B458" t="s">
        <v>60</v>
      </c>
      <c r="C458" t="s">
        <v>25</v>
      </c>
      <c r="D458" s="1">
        <v>4602</v>
      </c>
      <c r="E458" s="1">
        <v>24061</v>
      </c>
      <c r="F458" s="2">
        <v>36266</v>
      </c>
    </row>
    <row r="459" spans="1:6" x14ac:dyDescent="0.75">
      <c r="A459">
        <v>2025</v>
      </c>
      <c r="B459" t="s">
        <v>60</v>
      </c>
      <c r="C459" t="s">
        <v>26</v>
      </c>
      <c r="D459" s="1">
        <v>5067</v>
      </c>
      <c r="E459" s="1">
        <v>30593</v>
      </c>
      <c r="F459" s="2">
        <v>41698</v>
      </c>
    </row>
    <row r="460" spans="1:6" x14ac:dyDescent="0.75">
      <c r="A460">
        <v>2025</v>
      </c>
      <c r="B460" t="s">
        <v>60</v>
      </c>
      <c r="C460" t="s">
        <v>27</v>
      </c>
      <c r="D460" s="1">
        <v>4109</v>
      </c>
      <c r="E460" s="1">
        <v>18869</v>
      </c>
      <c r="F460" s="2">
        <v>43107</v>
      </c>
    </row>
    <row r="461" spans="1:6" x14ac:dyDescent="0.75">
      <c r="A461">
        <v>2025</v>
      </c>
      <c r="B461" t="s">
        <v>60</v>
      </c>
      <c r="C461" t="s">
        <v>28</v>
      </c>
      <c r="D461" s="1">
        <v>24307</v>
      </c>
      <c r="E461" s="1">
        <v>114130</v>
      </c>
      <c r="F461" s="2">
        <v>41197</v>
      </c>
    </row>
    <row r="462" spans="1:6" x14ac:dyDescent="0.75">
      <c r="A462">
        <v>2025</v>
      </c>
      <c r="B462" t="s">
        <v>60</v>
      </c>
      <c r="C462" t="s">
        <v>29</v>
      </c>
      <c r="D462" s="1">
        <v>4261</v>
      </c>
      <c r="E462" s="1">
        <v>18424</v>
      </c>
      <c r="F462" s="2">
        <v>38699</v>
      </c>
    </row>
    <row r="463" spans="1:6" x14ac:dyDescent="0.75">
      <c r="A463">
        <v>2025</v>
      </c>
      <c r="B463" t="s">
        <v>60</v>
      </c>
      <c r="C463" t="s">
        <v>30</v>
      </c>
      <c r="D463" s="1">
        <v>70935</v>
      </c>
      <c r="E463" s="1">
        <v>307026</v>
      </c>
      <c r="F463" s="2">
        <v>49001</v>
      </c>
    </row>
    <row r="464" spans="1:6" x14ac:dyDescent="0.75">
      <c r="A464">
        <v>2025</v>
      </c>
      <c r="B464" t="s">
        <v>60</v>
      </c>
      <c r="C464" t="s">
        <v>31</v>
      </c>
      <c r="D464" s="1">
        <v>26011</v>
      </c>
      <c r="E464" s="1">
        <v>107703</v>
      </c>
      <c r="F464" s="2">
        <v>39794</v>
      </c>
    </row>
    <row r="465" spans="1:6" x14ac:dyDescent="0.75">
      <c r="A465">
        <v>2025</v>
      </c>
      <c r="B465" t="s">
        <v>60</v>
      </c>
      <c r="C465" t="s">
        <v>32</v>
      </c>
      <c r="D465" s="1">
        <v>2141</v>
      </c>
      <c r="E465" s="1">
        <v>10645</v>
      </c>
      <c r="F465" s="2">
        <v>40484</v>
      </c>
    </row>
    <row r="466" spans="1:6" x14ac:dyDescent="0.75">
      <c r="A466">
        <v>2025</v>
      </c>
      <c r="B466" t="s">
        <v>60</v>
      </c>
      <c r="C466" t="s">
        <v>33</v>
      </c>
      <c r="D466" s="1">
        <v>23929</v>
      </c>
      <c r="E466" s="1">
        <v>138448</v>
      </c>
      <c r="F466" s="2">
        <v>38332</v>
      </c>
    </row>
    <row r="467" spans="1:6" x14ac:dyDescent="0.75">
      <c r="A467">
        <v>2025</v>
      </c>
      <c r="B467" t="s">
        <v>60</v>
      </c>
      <c r="C467" t="s">
        <v>34</v>
      </c>
      <c r="D467" s="1">
        <v>6600</v>
      </c>
      <c r="E467" s="1">
        <v>34047</v>
      </c>
      <c r="F467" s="2">
        <v>37686</v>
      </c>
    </row>
    <row r="468" spans="1:6" x14ac:dyDescent="0.75">
      <c r="A468">
        <v>2025</v>
      </c>
      <c r="B468" t="s">
        <v>60</v>
      </c>
      <c r="C468" t="s">
        <v>35</v>
      </c>
      <c r="D468" s="1">
        <v>14853</v>
      </c>
      <c r="E468" s="1">
        <v>60924</v>
      </c>
      <c r="F468" s="2">
        <v>41296</v>
      </c>
    </row>
    <row r="469" spans="1:6" x14ac:dyDescent="0.75">
      <c r="A469">
        <v>2025</v>
      </c>
      <c r="B469" t="s">
        <v>60</v>
      </c>
      <c r="C469" t="s">
        <v>36</v>
      </c>
      <c r="D469" s="1">
        <v>33590</v>
      </c>
      <c r="E469" s="1">
        <v>169772</v>
      </c>
      <c r="F469" s="2">
        <v>39396</v>
      </c>
    </row>
    <row r="470" spans="1:6" x14ac:dyDescent="0.75">
      <c r="A470">
        <v>2025</v>
      </c>
      <c r="B470" t="s">
        <v>60</v>
      </c>
      <c r="C470" t="s">
        <v>37</v>
      </c>
      <c r="D470" s="1">
        <v>3576</v>
      </c>
      <c r="E470" s="1">
        <v>15156</v>
      </c>
      <c r="F470" s="2">
        <v>38763</v>
      </c>
    </row>
    <row r="471" spans="1:6" x14ac:dyDescent="0.75">
      <c r="A471">
        <v>2025</v>
      </c>
      <c r="B471" t="s">
        <v>60</v>
      </c>
      <c r="C471" t="s">
        <v>38</v>
      </c>
      <c r="D471" s="1">
        <v>10267</v>
      </c>
      <c r="E471" s="1">
        <v>49710</v>
      </c>
      <c r="F471" s="2">
        <v>38110</v>
      </c>
    </row>
    <row r="472" spans="1:6" x14ac:dyDescent="0.75">
      <c r="A472">
        <v>2025</v>
      </c>
      <c r="B472" t="s">
        <v>60</v>
      </c>
      <c r="C472" t="s">
        <v>39</v>
      </c>
      <c r="D472" s="1">
        <v>2313</v>
      </c>
      <c r="E472" s="1">
        <v>11077</v>
      </c>
      <c r="F472" s="2">
        <v>38165</v>
      </c>
    </row>
    <row r="473" spans="1:6" x14ac:dyDescent="0.75">
      <c r="A473">
        <v>2025</v>
      </c>
      <c r="B473" t="s">
        <v>60</v>
      </c>
      <c r="C473" t="s">
        <v>40</v>
      </c>
      <c r="D473" s="1">
        <v>12651</v>
      </c>
      <c r="E473" s="1">
        <v>70977</v>
      </c>
      <c r="F473" s="2">
        <v>40323</v>
      </c>
    </row>
    <row r="474" spans="1:6" x14ac:dyDescent="0.75">
      <c r="A474">
        <v>2025</v>
      </c>
      <c r="B474" t="s">
        <v>60</v>
      </c>
      <c r="C474" t="s">
        <v>41</v>
      </c>
      <c r="D474" s="1">
        <v>57936</v>
      </c>
      <c r="E474" s="1">
        <v>310244</v>
      </c>
      <c r="F474" s="2">
        <v>44055</v>
      </c>
    </row>
    <row r="475" spans="1:6" x14ac:dyDescent="0.75">
      <c r="A475">
        <v>2025</v>
      </c>
      <c r="B475" t="s">
        <v>60</v>
      </c>
      <c r="C475" t="s">
        <v>42</v>
      </c>
      <c r="D475" s="1">
        <v>6849</v>
      </c>
      <c r="E475" s="1">
        <v>35002</v>
      </c>
      <c r="F475" s="2">
        <v>39528</v>
      </c>
    </row>
    <row r="476" spans="1:6" x14ac:dyDescent="0.75">
      <c r="A476">
        <v>2025</v>
      </c>
      <c r="B476" t="s">
        <v>60</v>
      </c>
      <c r="C476" t="s">
        <v>43</v>
      </c>
      <c r="D476" s="1">
        <v>1995</v>
      </c>
      <c r="E476" s="1">
        <v>7681</v>
      </c>
      <c r="F476" s="2">
        <v>41304</v>
      </c>
    </row>
    <row r="477" spans="1:6" x14ac:dyDescent="0.75">
      <c r="A477">
        <v>2025</v>
      </c>
      <c r="B477" t="s">
        <v>60</v>
      </c>
      <c r="C477" t="s">
        <v>44</v>
      </c>
      <c r="D477" s="1">
        <v>29516</v>
      </c>
      <c r="E477" s="1">
        <v>121622</v>
      </c>
      <c r="F477" s="2">
        <v>50744</v>
      </c>
    </row>
    <row r="478" spans="1:6" x14ac:dyDescent="0.75">
      <c r="A478">
        <v>2025</v>
      </c>
      <c r="B478" t="s">
        <v>60</v>
      </c>
      <c r="C478" t="s">
        <v>45</v>
      </c>
      <c r="D478" s="1">
        <v>20259</v>
      </c>
      <c r="E478" s="1">
        <v>89105</v>
      </c>
      <c r="F478" s="2">
        <v>46691</v>
      </c>
    </row>
    <row r="479" spans="1:6" x14ac:dyDescent="0.75">
      <c r="A479">
        <v>2025</v>
      </c>
      <c r="B479" t="s">
        <v>60</v>
      </c>
      <c r="C479" t="s">
        <v>46</v>
      </c>
      <c r="D479" s="1">
        <v>3442</v>
      </c>
      <c r="E479" s="1">
        <v>15621</v>
      </c>
      <c r="F479" s="2">
        <v>35759</v>
      </c>
    </row>
    <row r="480" spans="1:6" x14ac:dyDescent="0.75">
      <c r="A480">
        <v>2025</v>
      </c>
      <c r="B480" t="s">
        <v>60</v>
      </c>
      <c r="C480" t="s">
        <v>47</v>
      </c>
      <c r="D480" s="1">
        <v>13143</v>
      </c>
      <c r="E480" s="1">
        <v>74028</v>
      </c>
      <c r="F480" s="2">
        <v>36058</v>
      </c>
    </row>
    <row r="481" spans="1:6" x14ac:dyDescent="0.75">
      <c r="A481">
        <v>2025</v>
      </c>
      <c r="B481" t="s">
        <v>60</v>
      </c>
      <c r="C481" t="s">
        <v>48</v>
      </c>
      <c r="D481" s="1">
        <v>1669</v>
      </c>
      <c r="E481" s="1">
        <v>6769</v>
      </c>
      <c r="F481" s="2">
        <v>40253</v>
      </c>
    </row>
    <row r="482" spans="1:6" x14ac:dyDescent="0.75">
      <c r="A482">
        <v>2024</v>
      </c>
      <c r="B482" t="s">
        <v>55</v>
      </c>
      <c r="C482" t="s">
        <v>1</v>
      </c>
      <c r="D482" s="1">
        <v>1846</v>
      </c>
      <c r="E482" s="1">
        <v>18939</v>
      </c>
      <c r="F482" s="2">
        <v>56529</v>
      </c>
    </row>
    <row r="483" spans="1:6" x14ac:dyDescent="0.75">
      <c r="A483">
        <v>2024</v>
      </c>
      <c r="B483" t="s">
        <v>55</v>
      </c>
      <c r="C483" t="s">
        <v>2</v>
      </c>
      <c r="D483" s="1">
        <v>1358</v>
      </c>
      <c r="E483" s="1">
        <v>37970</v>
      </c>
      <c r="F483" s="2">
        <v>52262</v>
      </c>
    </row>
    <row r="484" spans="1:6" x14ac:dyDescent="0.75">
      <c r="A484">
        <v>2024</v>
      </c>
      <c r="B484" t="s">
        <v>55</v>
      </c>
      <c r="C484" t="s">
        <v>3</v>
      </c>
      <c r="D484" s="1">
        <v>2577</v>
      </c>
      <c r="E484" s="1">
        <v>16390</v>
      </c>
      <c r="F484" s="2">
        <v>48299</v>
      </c>
    </row>
    <row r="485" spans="1:6" x14ac:dyDescent="0.75">
      <c r="A485">
        <v>2024</v>
      </c>
      <c r="B485" t="s">
        <v>55</v>
      </c>
      <c r="C485" t="s">
        <v>4</v>
      </c>
      <c r="D485" s="1">
        <v>17663</v>
      </c>
      <c r="E485" s="1">
        <v>443581</v>
      </c>
      <c r="F485" s="2">
        <v>40246</v>
      </c>
    </row>
    <row r="486" spans="1:6" x14ac:dyDescent="0.75">
      <c r="A486">
        <v>2024</v>
      </c>
      <c r="B486" t="s">
        <v>55</v>
      </c>
      <c r="C486" t="s">
        <v>5</v>
      </c>
      <c r="D486" s="1">
        <v>3279</v>
      </c>
      <c r="E486" s="1">
        <v>48392</v>
      </c>
      <c r="F486" s="2">
        <v>90328</v>
      </c>
    </row>
    <row r="487" spans="1:6" x14ac:dyDescent="0.75">
      <c r="A487">
        <v>2024</v>
      </c>
      <c r="B487" t="s">
        <v>55</v>
      </c>
      <c r="C487" t="s">
        <v>6</v>
      </c>
      <c r="D487">
        <v>437</v>
      </c>
      <c r="E487" s="1">
        <v>5258</v>
      </c>
      <c r="F487" s="2">
        <v>41449</v>
      </c>
    </row>
    <row r="488" spans="1:6" x14ac:dyDescent="0.75">
      <c r="A488">
        <v>2024</v>
      </c>
      <c r="B488" t="s">
        <v>55</v>
      </c>
      <c r="C488" t="s">
        <v>7</v>
      </c>
      <c r="D488">
        <v>180</v>
      </c>
      <c r="E488" s="1">
        <v>1471</v>
      </c>
      <c r="F488" s="2">
        <v>42123</v>
      </c>
    </row>
    <row r="489" spans="1:6" x14ac:dyDescent="0.75">
      <c r="A489">
        <v>2024</v>
      </c>
      <c r="B489" t="s">
        <v>55</v>
      </c>
      <c r="C489" t="s">
        <v>8</v>
      </c>
      <c r="D489" s="1">
        <v>5304</v>
      </c>
      <c r="E489" s="1">
        <v>71329</v>
      </c>
      <c r="F489" s="2">
        <v>35645</v>
      </c>
    </row>
    <row r="490" spans="1:6" x14ac:dyDescent="0.75">
      <c r="A490">
        <v>2024</v>
      </c>
      <c r="B490" t="s">
        <v>55</v>
      </c>
      <c r="C490" t="s">
        <v>9</v>
      </c>
      <c r="D490" s="1">
        <v>2662</v>
      </c>
      <c r="E490" s="1">
        <v>29910</v>
      </c>
      <c r="F490" s="2">
        <v>43258</v>
      </c>
    </row>
    <row r="491" spans="1:6" x14ac:dyDescent="0.75">
      <c r="A491">
        <v>2024</v>
      </c>
      <c r="B491" t="s">
        <v>55</v>
      </c>
      <c r="C491" t="s">
        <v>10</v>
      </c>
      <c r="D491" s="1">
        <v>2401</v>
      </c>
      <c r="E491" s="1">
        <v>26555</v>
      </c>
      <c r="F491" s="2">
        <v>41105</v>
      </c>
    </row>
    <row r="492" spans="1:6" x14ac:dyDescent="0.75">
      <c r="A492">
        <v>2024</v>
      </c>
      <c r="B492" t="s">
        <v>55</v>
      </c>
      <c r="C492" t="s">
        <v>11</v>
      </c>
      <c r="D492" s="1">
        <v>2825</v>
      </c>
      <c r="E492" s="1">
        <v>26828</v>
      </c>
      <c r="F492" s="2">
        <v>52197</v>
      </c>
    </row>
    <row r="493" spans="1:6" x14ac:dyDescent="0.75">
      <c r="A493">
        <v>2024</v>
      </c>
      <c r="B493" t="s">
        <v>55</v>
      </c>
      <c r="C493" t="s">
        <v>12</v>
      </c>
      <c r="D493" s="1">
        <v>2255</v>
      </c>
      <c r="E493" s="1">
        <v>21475</v>
      </c>
      <c r="F493" s="2">
        <v>50243</v>
      </c>
    </row>
    <row r="494" spans="1:6" x14ac:dyDescent="0.75">
      <c r="A494">
        <v>2024</v>
      </c>
      <c r="B494" t="s">
        <v>55</v>
      </c>
      <c r="C494" t="s">
        <v>13</v>
      </c>
      <c r="D494" s="1">
        <v>2916</v>
      </c>
      <c r="E494" s="1">
        <v>23431</v>
      </c>
      <c r="F494" s="2">
        <v>44087</v>
      </c>
    </row>
    <row r="495" spans="1:6" x14ac:dyDescent="0.75">
      <c r="A495">
        <v>2024</v>
      </c>
      <c r="B495" t="s">
        <v>55</v>
      </c>
      <c r="C495" t="s">
        <v>14</v>
      </c>
      <c r="D495" s="1">
        <v>2612</v>
      </c>
      <c r="E495" s="1">
        <v>19353</v>
      </c>
      <c r="F495" s="2">
        <v>47802</v>
      </c>
    </row>
    <row r="496" spans="1:6" x14ac:dyDescent="0.75">
      <c r="A496">
        <v>2024</v>
      </c>
      <c r="B496" t="s">
        <v>55</v>
      </c>
      <c r="C496" t="s">
        <v>15</v>
      </c>
      <c r="D496" s="1">
        <v>1561</v>
      </c>
      <c r="E496" s="1">
        <v>18911</v>
      </c>
      <c r="F496" s="2">
        <v>56448</v>
      </c>
    </row>
    <row r="497" spans="1:6" x14ac:dyDescent="0.75">
      <c r="A497">
        <v>2024</v>
      </c>
      <c r="B497" t="s">
        <v>55</v>
      </c>
      <c r="C497" t="s">
        <v>16</v>
      </c>
      <c r="D497" s="1">
        <v>3133</v>
      </c>
      <c r="E497" s="1">
        <v>44052</v>
      </c>
      <c r="F497" s="2">
        <v>87820</v>
      </c>
    </row>
    <row r="498" spans="1:6" x14ac:dyDescent="0.75">
      <c r="A498">
        <v>2024</v>
      </c>
      <c r="B498" t="s">
        <v>55</v>
      </c>
      <c r="C498" t="s">
        <v>17</v>
      </c>
      <c r="D498" s="1">
        <v>1447</v>
      </c>
      <c r="E498" s="1">
        <v>7281</v>
      </c>
      <c r="F498" s="2">
        <v>41157</v>
      </c>
    </row>
    <row r="499" spans="1:6" x14ac:dyDescent="0.75">
      <c r="A499">
        <v>2024</v>
      </c>
      <c r="B499" t="s">
        <v>55</v>
      </c>
      <c r="C499" t="s">
        <v>18</v>
      </c>
      <c r="D499">
        <v>723</v>
      </c>
      <c r="E499" s="1">
        <v>7194</v>
      </c>
      <c r="F499" s="2">
        <v>44642</v>
      </c>
    </row>
    <row r="500" spans="1:6" x14ac:dyDescent="0.75">
      <c r="A500">
        <v>2024</v>
      </c>
      <c r="B500" t="s">
        <v>55</v>
      </c>
      <c r="C500" t="s">
        <v>19</v>
      </c>
      <c r="D500" s="1">
        <v>1007</v>
      </c>
      <c r="E500" s="1">
        <v>10500</v>
      </c>
      <c r="F500" s="2">
        <v>63846</v>
      </c>
    </row>
    <row r="501" spans="1:6" x14ac:dyDescent="0.75">
      <c r="A501">
        <v>2024</v>
      </c>
      <c r="B501" t="s">
        <v>55</v>
      </c>
      <c r="C501" t="s">
        <v>20</v>
      </c>
      <c r="D501" s="1">
        <v>3480</v>
      </c>
      <c r="E501" s="1">
        <v>35622</v>
      </c>
      <c r="F501" s="2">
        <v>41799</v>
      </c>
    </row>
    <row r="502" spans="1:6" x14ac:dyDescent="0.75">
      <c r="A502">
        <v>2024</v>
      </c>
      <c r="B502" t="s">
        <v>55</v>
      </c>
      <c r="C502" t="s">
        <v>21</v>
      </c>
      <c r="D502" s="1">
        <v>3094</v>
      </c>
      <c r="E502" s="1">
        <v>28134</v>
      </c>
      <c r="F502" s="2">
        <v>51107</v>
      </c>
    </row>
    <row r="503" spans="1:6" x14ac:dyDescent="0.75">
      <c r="A503">
        <v>2024</v>
      </c>
      <c r="B503" t="s">
        <v>55</v>
      </c>
      <c r="C503" t="s">
        <v>22</v>
      </c>
      <c r="D503" s="1">
        <v>2110</v>
      </c>
      <c r="E503" s="1">
        <v>15777</v>
      </c>
      <c r="F503" s="2">
        <v>49263</v>
      </c>
    </row>
    <row r="504" spans="1:6" x14ac:dyDescent="0.75">
      <c r="A504">
        <v>2024</v>
      </c>
      <c r="B504" t="s">
        <v>55</v>
      </c>
      <c r="C504" t="s">
        <v>23</v>
      </c>
      <c r="D504" s="1">
        <v>2031</v>
      </c>
      <c r="E504" s="1">
        <v>16899</v>
      </c>
      <c r="F504" s="2">
        <v>44815</v>
      </c>
    </row>
    <row r="505" spans="1:6" x14ac:dyDescent="0.75">
      <c r="A505">
        <v>2024</v>
      </c>
      <c r="B505" t="s">
        <v>55</v>
      </c>
      <c r="C505" t="s">
        <v>24</v>
      </c>
      <c r="D505" s="1">
        <v>1789</v>
      </c>
      <c r="E505" s="1">
        <v>12792</v>
      </c>
      <c r="F505" s="2">
        <v>67162</v>
      </c>
    </row>
    <row r="506" spans="1:6" x14ac:dyDescent="0.75">
      <c r="A506">
        <v>2024</v>
      </c>
      <c r="B506" t="s">
        <v>55</v>
      </c>
      <c r="C506" t="s">
        <v>25</v>
      </c>
      <c r="D506" s="1">
        <v>2414</v>
      </c>
      <c r="E506" s="1">
        <v>15761</v>
      </c>
      <c r="F506" s="2">
        <v>42685</v>
      </c>
    </row>
    <row r="507" spans="1:6" x14ac:dyDescent="0.75">
      <c r="A507">
        <v>2024</v>
      </c>
      <c r="B507" t="s">
        <v>55</v>
      </c>
      <c r="C507" t="s">
        <v>26</v>
      </c>
      <c r="D507">
        <v>618</v>
      </c>
      <c r="E507" s="1">
        <v>19841</v>
      </c>
      <c r="F507" s="2">
        <v>86362</v>
      </c>
    </row>
    <row r="508" spans="1:6" x14ac:dyDescent="0.75">
      <c r="A508">
        <v>2024</v>
      </c>
      <c r="B508" t="s">
        <v>55</v>
      </c>
      <c r="C508" t="s">
        <v>27</v>
      </c>
      <c r="D508">
        <v>350</v>
      </c>
      <c r="E508" s="1">
        <v>2627</v>
      </c>
      <c r="F508" s="2">
        <v>44073</v>
      </c>
    </row>
    <row r="509" spans="1:6" x14ac:dyDescent="0.75">
      <c r="A509">
        <v>2024</v>
      </c>
      <c r="B509" t="s">
        <v>55</v>
      </c>
      <c r="C509" t="s">
        <v>28</v>
      </c>
      <c r="D509">
        <v>998</v>
      </c>
      <c r="E509" s="1">
        <v>12407</v>
      </c>
      <c r="F509" s="2">
        <v>41732</v>
      </c>
    </row>
    <row r="510" spans="1:6" x14ac:dyDescent="0.75">
      <c r="A510">
        <v>2024</v>
      </c>
      <c r="B510" t="s">
        <v>55</v>
      </c>
      <c r="C510" t="s">
        <v>29</v>
      </c>
      <c r="D510" s="1">
        <v>2100</v>
      </c>
      <c r="E510" s="1">
        <v>36949</v>
      </c>
      <c r="F510" s="2">
        <v>68427</v>
      </c>
    </row>
    <row r="511" spans="1:6" x14ac:dyDescent="0.75">
      <c r="A511">
        <v>2024</v>
      </c>
      <c r="B511" t="s">
        <v>55</v>
      </c>
      <c r="C511" t="s">
        <v>30</v>
      </c>
      <c r="D511" s="1">
        <v>3053</v>
      </c>
      <c r="E511" s="1">
        <v>31787</v>
      </c>
      <c r="F511" s="2">
        <v>42992</v>
      </c>
    </row>
    <row r="512" spans="1:6" x14ac:dyDescent="0.75">
      <c r="A512">
        <v>2024</v>
      </c>
      <c r="B512" t="s">
        <v>55</v>
      </c>
      <c r="C512" t="s">
        <v>31</v>
      </c>
      <c r="D512" s="1">
        <v>3378</v>
      </c>
      <c r="E512" s="1">
        <v>29828</v>
      </c>
      <c r="F512" s="2">
        <v>40862</v>
      </c>
    </row>
    <row r="513" spans="1:6" x14ac:dyDescent="0.75">
      <c r="A513">
        <v>2024</v>
      </c>
      <c r="B513" t="s">
        <v>55</v>
      </c>
      <c r="C513" t="s">
        <v>32</v>
      </c>
      <c r="D513" s="1">
        <v>1784</v>
      </c>
      <c r="E513" s="1">
        <v>25973</v>
      </c>
      <c r="F513" s="2">
        <v>97355</v>
      </c>
    </row>
    <row r="514" spans="1:6" x14ac:dyDescent="0.75">
      <c r="A514">
        <v>2024</v>
      </c>
      <c r="B514" t="s">
        <v>55</v>
      </c>
      <c r="C514" t="s">
        <v>33</v>
      </c>
      <c r="D514" s="1">
        <v>2531</v>
      </c>
      <c r="E514" s="1">
        <v>28532</v>
      </c>
      <c r="F514" s="2">
        <v>51860</v>
      </c>
    </row>
    <row r="515" spans="1:6" x14ac:dyDescent="0.75">
      <c r="A515">
        <v>2024</v>
      </c>
      <c r="B515" t="s">
        <v>55</v>
      </c>
      <c r="C515" t="s">
        <v>34</v>
      </c>
      <c r="D515" s="1">
        <v>4402</v>
      </c>
      <c r="E515" s="1">
        <v>56786</v>
      </c>
      <c r="F515" s="2">
        <v>91249</v>
      </c>
    </row>
    <row r="516" spans="1:6" x14ac:dyDescent="0.75">
      <c r="A516">
        <v>2024</v>
      </c>
      <c r="B516" t="s">
        <v>55</v>
      </c>
      <c r="C516" t="s">
        <v>35</v>
      </c>
      <c r="D516" s="1">
        <v>4633</v>
      </c>
      <c r="E516" s="1">
        <v>54550</v>
      </c>
      <c r="F516" s="2">
        <v>37586</v>
      </c>
    </row>
    <row r="517" spans="1:6" x14ac:dyDescent="0.75">
      <c r="A517">
        <v>2024</v>
      </c>
      <c r="B517" t="s">
        <v>55</v>
      </c>
      <c r="C517" t="s">
        <v>36</v>
      </c>
      <c r="D517" s="1">
        <v>3616</v>
      </c>
      <c r="E517" s="1">
        <v>52904</v>
      </c>
      <c r="F517" s="2">
        <v>65014</v>
      </c>
    </row>
    <row r="518" spans="1:6" x14ac:dyDescent="0.75">
      <c r="A518">
        <v>2024</v>
      </c>
      <c r="B518" t="s">
        <v>55</v>
      </c>
      <c r="C518" t="s">
        <v>37</v>
      </c>
      <c r="D518">
        <v>198</v>
      </c>
      <c r="E518" s="1">
        <v>1121</v>
      </c>
      <c r="F518" s="2">
        <v>39917</v>
      </c>
    </row>
    <row r="519" spans="1:6" x14ac:dyDescent="0.75">
      <c r="A519">
        <v>2024</v>
      </c>
      <c r="B519" t="s">
        <v>55</v>
      </c>
      <c r="C519" t="s">
        <v>38</v>
      </c>
      <c r="D519" s="1">
        <v>1345</v>
      </c>
      <c r="E519" s="1">
        <v>12552</v>
      </c>
      <c r="F519" s="2">
        <v>43952</v>
      </c>
    </row>
    <row r="520" spans="1:6" x14ac:dyDescent="0.75">
      <c r="A520">
        <v>2024</v>
      </c>
      <c r="B520" t="s">
        <v>55</v>
      </c>
      <c r="C520" t="s">
        <v>39</v>
      </c>
      <c r="D520" s="1">
        <v>1063</v>
      </c>
      <c r="E520" s="1">
        <v>6986</v>
      </c>
      <c r="F520" s="2">
        <v>43642</v>
      </c>
    </row>
    <row r="521" spans="1:6" x14ac:dyDescent="0.75">
      <c r="A521">
        <v>2024</v>
      </c>
      <c r="B521" t="s">
        <v>55</v>
      </c>
      <c r="C521" t="s">
        <v>40</v>
      </c>
      <c r="D521" s="1">
        <v>1107</v>
      </c>
      <c r="E521" s="1">
        <v>11568</v>
      </c>
      <c r="F521" s="2">
        <v>46865</v>
      </c>
    </row>
    <row r="522" spans="1:6" x14ac:dyDescent="0.75">
      <c r="A522">
        <v>2024</v>
      </c>
      <c r="B522" t="s">
        <v>55</v>
      </c>
      <c r="C522" t="s">
        <v>41</v>
      </c>
      <c r="D522" s="1">
        <v>19971</v>
      </c>
      <c r="E522" s="1">
        <v>307800</v>
      </c>
      <c r="F522" s="2">
        <v>114918</v>
      </c>
    </row>
    <row r="523" spans="1:6" x14ac:dyDescent="0.75">
      <c r="A523">
        <v>2024</v>
      </c>
      <c r="B523" t="s">
        <v>55</v>
      </c>
      <c r="C523" t="s">
        <v>42</v>
      </c>
      <c r="D523" s="1">
        <v>1032</v>
      </c>
      <c r="E523" s="1">
        <v>15160</v>
      </c>
      <c r="F523" s="2">
        <v>63604</v>
      </c>
    </row>
    <row r="524" spans="1:6" x14ac:dyDescent="0.75">
      <c r="A524">
        <v>2024</v>
      </c>
      <c r="B524" t="s">
        <v>55</v>
      </c>
      <c r="C524" t="s">
        <v>43</v>
      </c>
      <c r="D524">
        <v>564</v>
      </c>
      <c r="E524" s="1">
        <v>4130</v>
      </c>
      <c r="F524" s="2">
        <v>39607</v>
      </c>
    </row>
    <row r="525" spans="1:6" x14ac:dyDescent="0.75">
      <c r="A525">
        <v>2024</v>
      </c>
      <c r="B525" t="s">
        <v>55</v>
      </c>
      <c r="C525" t="s">
        <v>44</v>
      </c>
      <c r="D525" s="1">
        <v>2095</v>
      </c>
      <c r="E525" s="1">
        <v>18691</v>
      </c>
      <c r="F525" s="2">
        <v>48704</v>
      </c>
    </row>
    <row r="526" spans="1:6" x14ac:dyDescent="0.75">
      <c r="A526">
        <v>2024</v>
      </c>
      <c r="B526" t="s">
        <v>55</v>
      </c>
      <c r="C526" t="s">
        <v>45</v>
      </c>
      <c r="D526" s="1">
        <v>7117</v>
      </c>
      <c r="E526" s="1">
        <v>105362</v>
      </c>
      <c r="F526" s="2">
        <v>34547</v>
      </c>
    </row>
    <row r="527" spans="1:6" x14ac:dyDescent="0.75">
      <c r="A527">
        <v>2024</v>
      </c>
      <c r="B527" t="s">
        <v>55</v>
      </c>
      <c r="C527" t="s">
        <v>46</v>
      </c>
      <c r="D527" s="1">
        <v>1166</v>
      </c>
      <c r="E527" s="1">
        <v>23333</v>
      </c>
      <c r="F527" s="2">
        <v>80470</v>
      </c>
    </row>
    <row r="528" spans="1:6" x14ac:dyDescent="0.75">
      <c r="A528">
        <v>2024</v>
      </c>
      <c r="B528" t="s">
        <v>55</v>
      </c>
      <c r="C528" t="s">
        <v>47</v>
      </c>
      <c r="D528" s="1">
        <v>2876</v>
      </c>
      <c r="E528" s="1">
        <v>31424</v>
      </c>
      <c r="F528" s="2">
        <v>40225</v>
      </c>
    </row>
    <row r="529" spans="1:6" x14ac:dyDescent="0.75">
      <c r="A529">
        <v>2024</v>
      </c>
      <c r="B529" t="s">
        <v>55</v>
      </c>
      <c r="C529" t="s">
        <v>48</v>
      </c>
      <c r="D529" s="1">
        <v>1463</v>
      </c>
      <c r="E529" s="1">
        <v>23524</v>
      </c>
      <c r="F529" s="2">
        <v>86467</v>
      </c>
    </row>
    <row r="530" spans="1:6" x14ac:dyDescent="0.75">
      <c r="A530">
        <v>2024</v>
      </c>
      <c r="B530" t="s">
        <v>51</v>
      </c>
      <c r="C530" t="s">
        <v>1</v>
      </c>
      <c r="D530" s="1">
        <v>10069</v>
      </c>
      <c r="E530" s="1">
        <v>93619</v>
      </c>
      <c r="F530" s="2">
        <v>56141</v>
      </c>
    </row>
    <row r="531" spans="1:6" x14ac:dyDescent="0.75">
      <c r="A531">
        <v>2024</v>
      </c>
      <c r="B531" t="s">
        <v>51</v>
      </c>
      <c r="C531" t="s">
        <v>2</v>
      </c>
      <c r="D531" s="1">
        <v>13677</v>
      </c>
      <c r="E531" s="1">
        <v>171309</v>
      </c>
      <c r="F531" s="2">
        <v>58621</v>
      </c>
    </row>
    <row r="532" spans="1:6" x14ac:dyDescent="0.75">
      <c r="A532">
        <v>2024</v>
      </c>
      <c r="B532" t="s">
        <v>51</v>
      </c>
      <c r="C532" t="s">
        <v>3</v>
      </c>
      <c r="D532" s="1">
        <v>7093</v>
      </c>
      <c r="E532" s="1">
        <v>52538</v>
      </c>
      <c r="F532" s="2">
        <v>49541</v>
      </c>
    </row>
    <row r="533" spans="1:6" x14ac:dyDescent="0.75">
      <c r="A533">
        <v>2024</v>
      </c>
      <c r="B533" t="s">
        <v>51</v>
      </c>
      <c r="C533" t="s">
        <v>4</v>
      </c>
      <c r="D533" s="1">
        <v>84247</v>
      </c>
      <c r="E533" s="1">
        <v>885668</v>
      </c>
      <c r="F533" s="2">
        <v>73343</v>
      </c>
    </row>
    <row r="534" spans="1:6" x14ac:dyDescent="0.75">
      <c r="A534">
        <v>2024</v>
      </c>
      <c r="B534" t="s">
        <v>51</v>
      </c>
      <c r="C534" t="s">
        <v>5</v>
      </c>
      <c r="D534" s="1">
        <v>20430</v>
      </c>
      <c r="E534" s="1">
        <v>178880</v>
      </c>
      <c r="F534" s="2">
        <v>64603</v>
      </c>
    </row>
    <row r="535" spans="1:6" x14ac:dyDescent="0.75">
      <c r="A535">
        <v>2024</v>
      </c>
      <c r="B535" t="s">
        <v>51</v>
      </c>
      <c r="C535" t="s">
        <v>6</v>
      </c>
      <c r="D535" s="1">
        <v>9496</v>
      </c>
      <c r="E535" s="1">
        <v>59731</v>
      </c>
      <c r="F535" s="2">
        <v>72413</v>
      </c>
    </row>
    <row r="536" spans="1:6" x14ac:dyDescent="0.75">
      <c r="A536">
        <v>2024</v>
      </c>
      <c r="B536" t="s">
        <v>51</v>
      </c>
      <c r="C536" t="s">
        <v>7</v>
      </c>
      <c r="D536" s="1">
        <v>3007</v>
      </c>
      <c r="E536" s="1">
        <v>22909</v>
      </c>
      <c r="F536" s="2">
        <v>62481</v>
      </c>
    </row>
    <row r="537" spans="1:6" x14ac:dyDescent="0.75">
      <c r="A537">
        <v>2024</v>
      </c>
      <c r="B537" t="s">
        <v>51</v>
      </c>
      <c r="C537" t="s">
        <v>8</v>
      </c>
      <c r="D537" s="1">
        <v>74711</v>
      </c>
      <c r="E537" s="1">
        <v>563526</v>
      </c>
      <c r="F537" s="2">
        <v>52893</v>
      </c>
    </row>
    <row r="538" spans="1:6" x14ac:dyDescent="0.75">
      <c r="A538">
        <v>2024</v>
      </c>
      <c r="B538" t="s">
        <v>51</v>
      </c>
      <c r="C538" t="s">
        <v>9</v>
      </c>
      <c r="D538" s="1">
        <v>21408</v>
      </c>
      <c r="E538" s="1">
        <v>203951</v>
      </c>
      <c r="F538" s="2">
        <v>63683</v>
      </c>
    </row>
    <row r="539" spans="1:6" x14ac:dyDescent="0.75">
      <c r="A539">
        <v>2024</v>
      </c>
      <c r="B539" t="s">
        <v>51</v>
      </c>
      <c r="C539" t="s">
        <v>10</v>
      </c>
      <c r="D539" s="1">
        <v>8175</v>
      </c>
      <c r="E539" s="1">
        <v>50684</v>
      </c>
      <c r="F539" s="2">
        <v>46258</v>
      </c>
    </row>
    <row r="540" spans="1:6" x14ac:dyDescent="0.75">
      <c r="A540">
        <v>2024</v>
      </c>
      <c r="B540" t="s">
        <v>51</v>
      </c>
      <c r="C540" t="s">
        <v>11</v>
      </c>
      <c r="D540" s="1">
        <v>32686</v>
      </c>
      <c r="E540" s="1">
        <v>227968</v>
      </c>
      <c r="F540" s="2">
        <v>73799</v>
      </c>
    </row>
    <row r="541" spans="1:6" x14ac:dyDescent="0.75">
      <c r="A541">
        <v>2024</v>
      </c>
      <c r="B541" t="s">
        <v>51</v>
      </c>
      <c r="C541" t="s">
        <v>12</v>
      </c>
      <c r="D541" s="1">
        <v>15232</v>
      </c>
      <c r="E541" s="1">
        <v>145851</v>
      </c>
      <c r="F541" s="2">
        <v>60057</v>
      </c>
    </row>
    <row r="542" spans="1:6" x14ac:dyDescent="0.75">
      <c r="A542">
        <v>2024</v>
      </c>
      <c r="B542" t="s">
        <v>51</v>
      </c>
      <c r="C542" t="s">
        <v>13</v>
      </c>
      <c r="D542" s="1">
        <v>9462</v>
      </c>
      <c r="E542" s="1">
        <v>78134</v>
      </c>
      <c r="F542" s="2">
        <v>58962</v>
      </c>
    </row>
    <row r="543" spans="1:6" x14ac:dyDescent="0.75">
      <c r="A543">
        <v>2024</v>
      </c>
      <c r="B543" t="s">
        <v>51</v>
      </c>
      <c r="C543" t="s">
        <v>14</v>
      </c>
      <c r="D543" s="1">
        <v>7399</v>
      </c>
      <c r="E543" s="1">
        <v>63735</v>
      </c>
      <c r="F543" s="2">
        <v>57030</v>
      </c>
    </row>
    <row r="544" spans="1:6" x14ac:dyDescent="0.75">
      <c r="A544">
        <v>2024</v>
      </c>
      <c r="B544" t="s">
        <v>51</v>
      </c>
      <c r="C544" t="s">
        <v>15</v>
      </c>
      <c r="D544" s="1">
        <v>9517</v>
      </c>
      <c r="E544" s="1">
        <v>80463</v>
      </c>
      <c r="F544" s="2">
        <v>55601</v>
      </c>
    </row>
    <row r="545" spans="1:6" x14ac:dyDescent="0.75">
      <c r="A545">
        <v>2024</v>
      </c>
      <c r="B545" t="s">
        <v>51</v>
      </c>
      <c r="C545" t="s">
        <v>16</v>
      </c>
      <c r="D545" s="1">
        <v>10991</v>
      </c>
      <c r="E545" s="1">
        <v>142033</v>
      </c>
      <c r="F545" s="2">
        <v>64940</v>
      </c>
    </row>
    <row r="546" spans="1:6" x14ac:dyDescent="0.75">
      <c r="A546">
        <v>2024</v>
      </c>
      <c r="B546" t="s">
        <v>51</v>
      </c>
      <c r="C546" t="s">
        <v>17</v>
      </c>
      <c r="D546" s="1">
        <v>5605</v>
      </c>
      <c r="E546" s="1">
        <v>29987</v>
      </c>
      <c r="F546" s="2">
        <v>51654</v>
      </c>
    </row>
    <row r="547" spans="1:6" x14ac:dyDescent="0.75">
      <c r="A547">
        <v>2024</v>
      </c>
      <c r="B547" t="s">
        <v>51</v>
      </c>
      <c r="C547" t="s">
        <v>18</v>
      </c>
      <c r="D547" s="1">
        <v>16694</v>
      </c>
      <c r="E547" s="1">
        <v>166132</v>
      </c>
      <c r="F547" s="2">
        <v>67799</v>
      </c>
    </row>
    <row r="548" spans="1:6" x14ac:dyDescent="0.75">
      <c r="A548">
        <v>2024</v>
      </c>
      <c r="B548" t="s">
        <v>51</v>
      </c>
      <c r="C548" t="s">
        <v>19</v>
      </c>
      <c r="D548" s="1">
        <v>21309</v>
      </c>
      <c r="E548" s="1">
        <v>163062</v>
      </c>
      <c r="F548" s="2">
        <v>81436</v>
      </c>
    </row>
    <row r="549" spans="1:6" x14ac:dyDescent="0.75">
      <c r="A549">
        <v>2024</v>
      </c>
      <c r="B549" t="s">
        <v>51</v>
      </c>
      <c r="C549" t="s">
        <v>20</v>
      </c>
      <c r="D549" s="1">
        <v>21106</v>
      </c>
      <c r="E549" s="1">
        <v>173015</v>
      </c>
      <c r="F549" s="2">
        <v>63588</v>
      </c>
    </row>
    <row r="550" spans="1:6" x14ac:dyDescent="0.75">
      <c r="A550">
        <v>2024</v>
      </c>
      <c r="B550" t="s">
        <v>51</v>
      </c>
      <c r="C550" t="s">
        <v>21</v>
      </c>
      <c r="D550" s="1">
        <v>16700</v>
      </c>
      <c r="E550" s="1">
        <v>127092</v>
      </c>
      <c r="F550" s="2">
        <v>69734</v>
      </c>
    </row>
    <row r="551" spans="1:6" x14ac:dyDescent="0.75">
      <c r="A551">
        <v>2024</v>
      </c>
      <c r="B551" t="s">
        <v>51</v>
      </c>
      <c r="C551" t="s">
        <v>22</v>
      </c>
      <c r="D551" s="1">
        <v>5771</v>
      </c>
      <c r="E551" s="1">
        <v>44543</v>
      </c>
      <c r="F551" s="2">
        <v>50925</v>
      </c>
    </row>
    <row r="552" spans="1:6" x14ac:dyDescent="0.75">
      <c r="A552">
        <v>2024</v>
      </c>
      <c r="B552" t="s">
        <v>51</v>
      </c>
      <c r="C552" t="s">
        <v>23</v>
      </c>
      <c r="D552" s="1">
        <v>15133</v>
      </c>
      <c r="E552" s="1">
        <v>126641</v>
      </c>
      <c r="F552" s="2">
        <v>61762</v>
      </c>
    </row>
    <row r="553" spans="1:6" x14ac:dyDescent="0.75">
      <c r="A553">
        <v>2024</v>
      </c>
      <c r="B553" t="s">
        <v>51</v>
      </c>
      <c r="C553" t="s">
        <v>24</v>
      </c>
      <c r="D553" s="1">
        <v>6432</v>
      </c>
      <c r="E553" s="1">
        <v>29914</v>
      </c>
      <c r="F553" s="2">
        <v>53962</v>
      </c>
    </row>
    <row r="554" spans="1:6" x14ac:dyDescent="0.75">
      <c r="A554">
        <v>2024</v>
      </c>
      <c r="B554" t="s">
        <v>51</v>
      </c>
      <c r="C554" t="s">
        <v>25</v>
      </c>
      <c r="D554" s="1">
        <v>7038</v>
      </c>
      <c r="E554" s="1">
        <v>53732</v>
      </c>
      <c r="F554" s="2">
        <v>53794</v>
      </c>
    </row>
    <row r="555" spans="1:6" x14ac:dyDescent="0.75">
      <c r="A555">
        <v>2024</v>
      </c>
      <c r="B555" t="s">
        <v>51</v>
      </c>
      <c r="C555" t="s">
        <v>26</v>
      </c>
      <c r="D555" s="1">
        <v>5852</v>
      </c>
      <c r="E555" s="1">
        <v>95939</v>
      </c>
      <c r="F555" s="2">
        <v>64365</v>
      </c>
    </row>
    <row r="556" spans="1:6" x14ac:dyDescent="0.75">
      <c r="A556">
        <v>2024</v>
      </c>
      <c r="B556" t="s">
        <v>51</v>
      </c>
      <c r="C556" t="s">
        <v>27</v>
      </c>
      <c r="D556" s="1">
        <v>4692</v>
      </c>
      <c r="E556" s="1">
        <v>27825</v>
      </c>
      <c r="F556" s="2">
        <v>64868</v>
      </c>
    </row>
    <row r="557" spans="1:6" x14ac:dyDescent="0.75">
      <c r="A557">
        <v>2024</v>
      </c>
      <c r="B557" t="s">
        <v>51</v>
      </c>
      <c r="C557" t="s">
        <v>28</v>
      </c>
      <c r="D557" s="1">
        <v>22556</v>
      </c>
      <c r="E557" s="1">
        <v>159462</v>
      </c>
      <c r="F557" s="2">
        <v>74644</v>
      </c>
    </row>
    <row r="558" spans="1:6" x14ac:dyDescent="0.75">
      <c r="A558">
        <v>2024</v>
      </c>
      <c r="B558" t="s">
        <v>51</v>
      </c>
      <c r="C558" t="s">
        <v>29</v>
      </c>
      <c r="D558" s="1">
        <v>5571</v>
      </c>
      <c r="E558" s="1">
        <v>50153</v>
      </c>
      <c r="F558" s="2">
        <v>52091</v>
      </c>
    </row>
    <row r="559" spans="1:6" x14ac:dyDescent="0.75">
      <c r="A559">
        <v>2024</v>
      </c>
      <c r="B559" t="s">
        <v>51</v>
      </c>
      <c r="C559" t="s">
        <v>30</v>
      </c>
      <c r="D559" s="1">
        <v>50432</v>
      </c>
      <c r="E559" s="1">
        <v>405650</v>
      </c>
      <c r="F559" s="2">
        <v>75570</v>
      </c>
    </row>
    <row r="560" spans="1:6" x14ac:dyDescent="0.75">
      <c r="A560">
        <v>2024</v>
      </c>
      <c r="B560" t="s">
        <v>51</v>
      </c>
      <c r="C560" t="s">
        <v>31</v>
      </c>
      <c r="D560" s="1">
        <v>27974</v>
      </c>
      <c r="E560" s="1">
        <v>231739</v>
      </c>
      <c r="F560" s="2">
        <v>56974</v>
      </c>
    </row>
    <row r="561" spans="1:6" x14ac:dyDescent="0.75">
      <c r="A561">
        <v>2024</v>
      </c>
      <c r="B561" t="s">
        <v>51</v>
      </c>
      <c r="C561" t="s">
        <v>32</v>
      </c>
      <c r="D561" s="1">
        <v>3692</v>
      </c>
      <c r="E561" s="1">
        <v>27961</v>
      </c>
      <c r="F561" s="2">
        <v>68153</v>
      </c>
    </row>
    <row r="562" spans="1:6" x14ac:dyDescent="0.75">
      <c r="A562">
        <v>2024</v>
      </c>
      <c r="B562" t="s">
        <v>51</v>
      </c>
      <c r="C562" t="s">
        <v>33</v>
      </c>
      <c r="D562" s="1">
        <v>23405</v>
      </c>
      <c r="E562" s="1">
        <v>226563</v>
      </c>
      <c r="F562" s="2">
        <v>62383</v>
      </c>
    </row>
    <row r="563" spans="1:6" x14ac:dyDescent="0.75">
      <c r="A563">
        <v>2024</v>
      </c>
      <c r="B563" t="s">
        <v>51</v>
      </c>
      <c r="C563" t="s">
        <v>34</v>
      </c>
      <c r="D563" s="1">
        <v>9801</v>
      </c>
      <c r="E563" s="1">
        <v>82834</v>
      </c>
      <c r="F563" s="2">
        <v>54435</v>
      </c>
    </row>
    <row r="564" spans="1:6" x14ac:dyDescent="0.75">
      <c r="A564">
        <v>2024</v>
      </c>
      <c r="B564" t="s">
        <v>51</v>
      </c>
      <c r="C564" t="s">
        <v>35</v>
      </c>
      <c r="D564" s="1">
        <v>14626</v>
      </c>
      <c r="E564" s="1">
        <v>108871</v>
      </c>
      <c r="F564" s="2">
        <v>63148</v>
      </c>
    </row>
    <row r="565" spans="1:6" x14ac:dyDescent="0.75">
      <c r="A565">
        <v>2024</v>
      </c>
      <c r="B565" t="s">
        <v>51</v>
      </c>
      <c r="C565" t="s">
        <v>36</v>
      </c>
      <c r="D565" s="1">
        <v>29139</v>
      </c>
      <c r="E565" s="1">
        <v>260895</v>
      </c>
      <c r="F565" s="2">
        <v>68612</v>
      </c>
    </row>
    <row r="566" spans="1:6" x14ac:dyDescent="0.75">
      <c r="A566">
        <v>2024</v>
      </c>
      <c r="B566" t="s">
        <v>51</v>
      </c>
      <c r="C566" t="s">
        <v>37</v>
      </c>
      <c r="D566" s="1">
        <v>3833</v>
      </c>
      <c r="E566" s="1">
        <v>19980</v>
      </c>
      <c r="F566" s="2">
        <v>63414</v>
      </c>
    </row>
    <row r="567" spans="1:6" x14ac:dyDescent="0.75">
      <c r="A567">
        <v>2024</v>
      </c>
      <c r="B567" t="s">
        <v>51</v>
      </c>
      <c r="C567" t="s">
        <v>38</v>
      </c>
      <c r="D567" s="1">
        <v>12956</v>
      </c>
      <c r="E567" s="1">
        <v>107028</v>
      </c>
      <c r="F567" s="2">
        <v>55230</v>
      </c>
    </row>
    <row r="568" spans="1:6" x14ac:dyDescent="0.75">
      <c r="A568">
        <v>2024</v>
      </c>
      <c r="B568" t="s">
        <v>51</v>
      </c>
      <c r="C568" t="s">
        <v>39</v>
      </c>
      <c r="D568" s="1">
        <v>3897</v>
      </c>
      <c r="E568" s="1">
        <v>23609</v>
      </c>
      <c r="F568" s="2">
        <v>50997</v>
      </c>
    </row>
    <row r="569" spans="1:6" x14ac:dyDescent="0.75">
      <c r="A569">
        <v>2024</v>
      </c>
      <c r="B569" t="s">
        <v>51</v>
      </c>
      <c r="C569" t="s">
        <v>40</v>
      </c>
      <c r="D569" s="1">
        <v>12487</v>
      </c>
      <c r="E569" s="1">
        <v>130126</v>
      </c>
      <c r="F569" s="2">
        <v>58777</v>
      </c>
    </row>
    <row r="570" spans="1:6" x14ac:dyDescent="0.75">
      <c r="A570">
        <v>2024</v>
      </c>
      <c r="B570" t="s">
        <v>51</v>
      </c>
      <c r="C570" t="s">
        <v>41</v>
      </c>
      <c r="D570" s="1">
        <v>53248</v>
      </c>
      <c r="E570" s="1">
        <v>774190</v>
      </c>
      <c r="F570" s="2">
        <v>67564</v>
      </c>
    </row>
    <row r="571" spans="1:6" x14ac:dyDescent="0.75">
      <c r="A571">
        <v>2024</v>
      </c>
      <c r="B571" t="s">
        <v>51</v>
      </c>
      <c r="C571" t="s">
        <v>42</v>
      </c>
      <c r="D571" s="1">
        <v>12212</v>
      </c>
      <c r="E571" s="1">
        <v>109486</v>
      </c>
      <c r="F571" s="2">
        <v>53428</v>
      </c>
    </row>
    <row r="572" spans="1:6" x14ac:dyDescent="0.75">
      <c r="A572">
        <v>2024</v>
      </c>
      <c r="B572" t="s">
        <v>51</v>
      </c>
      <c r="C572" t="s">
        <v>43</v>
      </c>
      <c r="D572" s="1">
        <v>2846</v>
      </c>
      <c r="E572" s="1">
        <v>15283</v>
      </c>
      <c r="F572" s="2">
        <v>52585</v>
      </c>
    </row>
    <row r="573" spans="1:6" x14ac:dyDescent="0.75">
      <c r="A573">
        <v>2024</v>
      </c>
      <c r="B573" t="s">
        <v>51</v>
      </c>
      <c r="C573" t="s">
        <v>44</v>
      </c>
      <c r="D573" s="1">
        <v>21468</v>
      </c>
      <c r="E573" s="1">
        <v>202134</v>
      </c>
      <c r="F573" s="2">
        <v>60504</v>
      </c>
    </row>
    <row r="574" spans="1:6" x14ac:dyDescent="0.75">
      <c r="A574">
        <v>2024</v>
      </c>
      <c r="B574" t="s">
        <v>51</v>
      </c>
      <c r="C574" t="s">
        <v>45</v>
      </c>
      <c r="D574" s="1">
        <v>26472</v>
      </c>
      <c r="E574" s="1">
        <v>205717</v>
      </c>
      <c r="F574" s="2">
        <v>67833</v>
      </c>
    </row>
    <row r="575" spans="1:6" x14ac:dyDescent="0.75">
      <c r="A575">
        <v>2024</v>
      </c>
      <c r="B575" t="s">
        <v>51</v>
      </c>
      <c r="C575" t="s">
        <v>46</v>
      </c>
      <c r="D575" s="1">
        <v>4338</v>
      </c>
      <c r="E575" s="1">
        <v>35459</v>
      </c>
      <c r="F575" s="2">
        <v>64460</v>
      </c>
    </row>
    <row r="576" spans="1:6" x14ac:dyDescent="0.75">
      <c r="A576">
        <v>2024</v>
      </c>
      <c r="B576" t="s">
        <v>51</v>
      </c>
      <c r="C576" t="s">
        <v>47</v>
      </c>
      <c r="D576" s="1">
        <v>14823</v>
      </c>
      <c r="E576" s="1">
        <v>124384</v>
      </c>
      <c r="F576" s="2">
        <v>63874</v>
      </c>
    </row>
    <row r="577" spans="1:6" x14ac:dyDescent="0.75">
      <c r="A577">
        <v>2024</v>
      </c>
      <c r="B577" t="s">
        <v>51</v>
      </c>
      <c r="C577" t="s">
        <v>48</v>
      </c>
      <c r="D577" s="1">
        <v>3427</v>
      </c>
      <c r="E577" s="1">
        <v>22875</v>
      </c>
      <c r="F577" s="2">
        <v>57417</v>
      </c>
    </row>
    <row r="578" spans="1:6" x14ac:dyDescent="0.75">
      <c r="A578">
        <v>2024</v>
      </c>
      <c r="B578" t="s">
        <v>52</v>
      </c>
      <c r="C578" t="s">
        <v>1</v>
      </c>
      <c r="D578" s="1">
        <v>5677</v>
      </c>
      <c r="E578" s="1">
        <v>268948</v>
      </c>
      <c r="F578" s="2">
        <v>58532</v>
      </c>
    </row>
    <row r="579" spans="1:6" x14ac:dyDescent="0.75">
      <c r="A579">
        <v>2024</v>
      </c>
      <c r="B579" t="s">
        <v>52</v>
      </c>
      <c r="C579" t="s">
        <v>2</v>
      </c>
      <c r="D579" s="1">
        <v>5157</v>
      </c>
      <c r="E579" s="1">
        <v>177610</v>
      </c>
      <c r="F579" s="2">
        <v>78966</v>
      </c>
    </row>
    <row r="580" spans="1:6" x14ac:dyDescent="0.75">
      <c r="A580">
        <v>2024</v>
      </c>
      <c r="B580" t="s">
        <v>52</v>
      </c>
      <c r="C580" t="s">
        <v>3</v>
      </c>
      <c r="D580" s="1">
        <v>2930</v>
      </c>
      <c r="E580" s="1">
        <v>162214</v>
      </c>
      <c r="F580" s="2">
        <v>49202</v>
      </c>
    </row>
    <row r="581" spans="1:6" x14ac:dyDescent="0.75">
      <c r="A581">
        <v>2024</v>
      </c>
      <c r="B581" t="s">
        <v>52</v>
      </c>
      <c r="C581" t="s">
        <v>4</v>
      </c>
      <c r="D581" s="1">
        <v>44539</v>
      </c>
      <c r="E581" s="1">
        <v>1322455</v>
      </c>
      <c r="F581" s="2">
        <v>98222</v>
      </c>
    </row>
    <row r="582" spans="1:6" x14ac:dyDescent="0.75">
      <c r="A582">
        <v>2024</v>
      </c>
      <c r="B582" t="s">
        <v>52</v>
      </c>
      <c r="C582" t="s">
        <v>5</v>
      </c>
      <c r="D582" s="1">
        <v>5849</v>
      </c>
      <c r="E582" s="1">
        <v>150109</v>
      </c>
      <c r="F582" s="2">
        <v>73935</v>
      </c>
    </row>
    <row r="583" spans="1:6" x14ac:dyDescent="0.75">
      <c r="A583">
        <v>2024</v>
      </c>
      <c r="B583" t="s">
        <v>52</v>
      </c>
      <c r="C583" t="s">
        <v>6</v>
      </c>
      <c r="D583" s="1">
        <v>4405</v>
      </c>
      <c r="E583" s="1">
        <v>161899</v>
      </c>
      <c r="F583" s="2">
        <v>85024</v>
      </c>
    </row>
    <row r="584" spans="1:6" x14ac:dyDescent="0.75">
      <c r="A584">
        <v>2024</v>
      </c>
      <c r="B584" t="s">
        <v>52</v>
      </c>
      <c r="C584" t="s">
        <v>7</v>
      </c>
      <c r="D584">
        <v>663</v>
      </c>
      <c r="E584" s="1">
        <v>27298</v>
      </c>
      <c r="F584" s="2">
        <v>66194</v>
      </c>
    </row>
    <row r="585" spans="1:6" x14ac:dyDescent="0.75">
      <c r="A585">
        <v>2024</v>
      </c>
      <c r="B585" t="s">
        <v>52</v>
      </c>
      <c r="C585" t="s">
        <v>8</v>
      </c>
      <c r="D585" s="1">
        <v>20799</v>
      </c>
      <c r="E585" s="1">
        <v>383956</v>
      </c>
      <c r="F585" s="2">
        <v>63877</v>
      </c>
    </row>
    <row r="586" spans="1:6" x14ac:dyDescent="0.75">
      <c r="A586">
        <v>2024</v>
      </c>
      <c r="B586" t="s">
        <v>52</v>
      </c>
      <c r="C586" t="s">
        <v>9</v>
      </c>
      <c r="D586" s="1">
        <v>10066</v>
      </c>
      <c r="E586" s="1">
        <v>404085</v>
      </c>
      <c r="F586" s="2">
        <v>58246</v>
      </c>
    </row>
    <row r="587" spans="1:6" x14ac:dyDescent="0.75">
      <c r="A587">
        <v>2024</v>
      </c>
      <c r="B587" t="s">
        <v>52</v>
      </c>
      <c r="C587" t="s">
        <v>10</v>
      </c>
      <c r="D587" s="1">
        <v>2680</v>
      </c>
      <c r="E587" s="1">
        <v>68404</v>
      </c>
      <c r="F587" s="2">
        <v>62480</v>
      </c>
    </row>
    <row r="588" spans="1:6" x14ac:dyDescent="0.75">
      <c r="A588">
        <v>2024</v>
      </c>
      <c r="B588" t="s">
        <v>52</v>
      </c>
      <c r="C588" t="s">
        <v>11</v>
      </c>
      <c r="D588" s="1">
        <v>18066</v>
      </c>
      <c r="E588" s="1">
        <v>585894</v>
      </c>
      <c r="F588" s="2">
        <v>72819</v>
      </c>
    </row>
    <row r="589" spans="1:6" x14ac:dyDescent="0.75">
      <c r="A589">
        <v>2024</v>
      </c>
      <c r="B589" t="s">
        <v>52</v>
      </c>
      <c r="C589" t="s">
        <v>12</v>
      </c>
      <c r="D589" s="1">
        <v>9083</v>
      </c>
      <c r="E589" s="1">
        <v>541099</v>
      </c>
      <c r="F589" s="2">
        <v>63320</v>
      </c>
    </row>
    <row r="590" spans="1:6" x14ac:dyDescent="0.75">
      <c r="A590">
        <v>2024</v>
      </c>
      <c r="B590" t="s">
        <v>52</v>
      </c>
      <c r="C590" t="s">
        <v>13</v>
      </c>
      <c r="D590" s="1">
        <v>4132</v>
      </c>
      <c r="E590" s="1">
        <v>226152</v>
      </c>
      <c r="F590" s="2">
        <v>60185</v>
      </c>
    </row>
    <row r="591" spans="1:6" x14ac:dyDescent="0.75">
      <c r="A591">
        <v>2024</v>
      </c>
      <c r="B591" t="s">
        <v>52</v>
      </c>
      <c r="C591" t="s">
        <v>14</v>
      </c>
      <c r="D591" s="1">
        <v>3105</v>
      </c>
      <c r="E591" s="1">
        <v>167196</v>
      </c>
      <c r="F591" s="2">
        <v>59652</v>
      </c>
    </row>
    <row r="592" spans="1:6" x14ac:dyDescent="0.75">
      <c r="A592">
        <v>2024</v>
      </c>
      <c r="B592" t="s">
        <v>52</v>
      </c>
      <c r="C592" t="s">
        <v>15</v>
      </c>
      <c r="D592" s="1">
        <v>4583</v>
      </c>
      <c r="E592" s="1">
        <v>252626</v>
      </c>
      <c r="F592" s="2">
        <v>61167</v>
      </c>
    </row>
    <row r="593" spans="1:6" x14ac:dyDescent="0.75">
      <c r="A593">
        <v>2024</v>
      </c>
      <c r="B593" t="s">
        <v>52</v>
      </c>
      <c r="C593" t="s">
        <v>16</v>
      </c>
      <c r="D593" s="1">
        <v>4453</v>
      </c>
      <c r="E593" s="1">
        <v>137729</v>
      </c>
      <c r="F593" s="2">
        <v>77600</v>
      </c>
    </row>
    <row r="594" spans="1:6" x14ac:dyDescent="0.75">
      <c r="A594">
        <v>2024</v>
      </c>
      <c r="B594" t="s">
        <v>52</v>
      </c>
      <c r="C594" t="s">
        <v>17</v>
      </c>
      <c r="D594" s="1">
        <v>1870</v>
      </c>
      <c r="E594" s="1">
        <v>53047</v>
      </c>
      <c r="F594" s="2">
        <v>57227</v>
      </c>
    </row>
    <row r="595" spans="1:6" x14ac:dyDescent="0.75">
      <c r="A595">
        <v>2024</v>
      </c>
      <c r="B595" t="s">
        <v>52</v>
      </c>
      <c r="C595" t="s">
        <v>18</v>
      </c>
      <c r="D595" s="1">
        <v>4145</v>
      </c>
      <c r="E595" s="1">
        <v>112273</v>
      </c>
      <c r="F595" s="2">
        <v>79016</v>
      </c>
    </row>
    <row r="596" spans="1:6" x14ac:dyDescent="0.75">
      <c r="A596">
        <v>2024</v>
      </c>
      <c r="B596" t="s">
        <v>52</v>
      </c>
      <c r="C596" t="s">
        <v>19</v>
      </c>
      <c r="D596" s="1">
        <v>6682</v>
      </c>
      <c r="E596" s="1">
        <v>244258</v>
      </c>
      <c r="F596" s="2">
        <v>89698</v>
      </c>
    </row>
    <row r="597" spans="1:6" x14ac:dyDescent="0.75">
      <c r="A597">
        <v>2024</v>
      </c>
      <c r="B597" t="s">
        <v>52</v>
      </c>
      <c r="C597" t="s">
        <v>20</v>
      </c>
      <c r="D597" s="1">
        <v>16948</v>
      </c>
      <c r="E597" s="1">
        <v>625676</v>
      </c>
      <c r="F597" s="2">
        <v>68465</v>
      </c>
    </row>
    <row r="598" spans="1:6" x14ac:dyDescent="0.75">
      <c r="A598">
        <v>2024</v>
      </c>
      <c r="B598" t="s">
        <v>52</v>
      </c>
      <c r="C598" t="s">
        <v>21</v>
      </c>
      <c r="D598" s="1">
        <v>8265</v>
      </c>
      <c r="E598" s="1">
        <v>324018</v>
      </c>
      <c r="F598" s="2">
        <v>68082</v>
      </c>
    </row>
    <row r="599" spans="1:6" x14ac:dyDescent="0.75">
      <c r="A599">
        <v>2024</v>
      </c>
      <c r="B599" t="s">
        <v>52</v>
      </c>
      <c r="C599" t="s">
        <v>22</v>
      </c>
      <c r="D599" s="1">
        <v>2396</v>
      </c>
      <c r="E599" s="1">
        <v>146775</v>
      </c>
      <c r="F599" s="2">
        <v>50065</v>
      </c>
    </row>
    <row r="600" spans="1:6" x14ac:dyDescent="0.75">
      <c r="A600">
        <v>2024</v>
      </c>
      <c r="B600" t="s">
        <v>52</v>
      </c>
      <c r="C600" t="s">
        <v>23</v>
      </c>
      <c r="D600" s="1">
        <v>6681</v>
      </c>
      <c r="E600" s="1">
        <v>277104</v>
      </c>
      <c r="F600" s="2">
        <v>59758</v>
      </c>
    </row>
    <row r="601" spans="1:6" x14ac:dyDescent="0.75">
      <c r="A601">
        <v>2024</v>
      </c>
      <c r="B601" t="s">
        <v>52</v>
      </c>
      <c r="C601" t="s">
        <v>24</v>
      </c>
      <c r="D601" s="1">
        <v>1625</v>
      </c>
      <c r="E601" s="1">
        <v>20972</v>
      </c>
      <c r="F601" s="2">
        <v>51666</v>
      </c>
    </row>
    <row r="602" spans="1:6" x14ac:dyDescent="0.75">
      <c r="A602">
        <v>2024</v>
      </c>
      <c r="B602" t="s">
        <v>52</v>
      </c>
      <c r="C602" t="s">
        <v>25</v>
      </c>
      <c r="D602" s="1">
        <v>1974</v>
      </c>
      <c r="E602" s="1">
        <v>99914</v>
      </c>
      <c r="F602" s="2">
        <v>52716</v>
      </c>
    </row>
    <row r="603" spans="1:6" x14ac:dyDescent="0.75">
      <c r="A603">
        <v>2024</v>
      </c>
      <c r="B603" t="s">
        <v>52</v>
      </c>
      <c r="C603" t="s">
        <v>26</v>
      </c>
      <c r="D603" s="1">
        <v>2069</v>
      </c>
      <c r="E603" s="1">
        <v>59279</v>
      </c>
      <c r="F603" s="2">
        <v>59498</v>
      </c>
    </row>
    <row r="604" spans="1:6" x14ac:dyDescent="0.75">
      <c r="A604">
        <v>2024</v>
      </c>
      <c r="B604" t="s">
        <v>52</v>
      </c>
      <c r="C604" t="s">
        <v>27</v>
      </c>
      <c r="D604" s="1">
        <v>2012</v>
      </c>
      <c r="E604" s="1">
        <v>71459</v>
      </c>
      <c r="F604" s="2">
        <v>73007</v>
      </c>
    </row>
    <row r="605" spans="1:6" x14ac:dyDescent="0.75">
      <c r="A605">
        <v>2024</v>
      </c>
      <c r="B605" t="s">
        <v>52</v>
      </c>
      <c r="C605" t="s">
        <v>28</v>
      </c>
      <c r="D605" s="1">
        <v>8994</v>
      </c>
      <c r="E605" s="1">
        <v>249464</v>
      </c>
      <c r="F605" s="2">
        <v>81649</v>
      </c>
    </row>
    <row r="606" spans="1:6" x14ac:dyDescent="0.75">
      <c r="A606">
        <v>2024</v>
      </c>
      <c r="B606" t="s">
        <v>52</v>
      </c>
      <c r="C606" t="s">
        <v>29</v>
      </c>
      <c r="D606" s="1">
        <v>1810</v>
      </c>
      <c r="E606" s="1">
        <v>28514</v>
      </c>
      <c r="F606" s="2">
        <v>55737</v>
      </c>
    </row>
    <row r="607" spans="1:6" x14ac:dyDescent="0.75">
      <c r="A607">
        <v>2024</v>
      </c>
      <c r="B607" t="s">
        <v>52</v>
      </c>
      <c r="C607" t="s">
        <v>30</v>
      </c>
      <c r="D607" s="1">
        <v>16457</v>
      </c>
      <c r="E607" s="1">
        <v>437040</v>
      </c>
      <c r="F607" s="2">
        <v>69154</v>
      </c>
    </row>
    <row r="608" spans="1:6" x14ac:dyDescent="0.75">
      <c r="A608">
        <v>2024</v>
      </c>
      <c r="B608" t="s">
        <v>52</v>
      </c>
      <c r="C608" t="s">
        <v>31</v>
      </c>
      <c r="D608" s="1">
        <v>10247</v>
      </c>
      <c r="E608" s="1">
        <v>477086</v>
      </c>
      <c r="F608" s="2">
        <v>61095</v>
      </c>
    </row>
    <row r="609" spans="1:6" x14ac:dyDescent="0.75">
      <c r="A609">
        <v>2024</v>
      </c>
      <c r="B609" t="s">
        <v>52</v>
      </c>
      <c r="C609" t="s">
        <v>32</v>
      </c>
      <c r="D609">
        <v>808</v>
      </c>
      <c r="E609" s="1">
        <v>26471</v>
      </c>
      <c r="F609" s="2">
        <v>55179</v>
      </c>
    </row>
    <row r="610" spans="1:6" x14ac:dyDescent="0.75">
      <c r="A610">
        <v>2024</v>
      </c>
      <c r="B610" t="s">
        <v>52</v>
      </c>
      <c r="C610" t="s">
        <v>33</v>
      </c>
      <c r="D610" s="1">
        <v>15486</v>
      </c>
      <c r="E610" s="1">
        <v>700786</v>
      </c>
      <c r="F610" s="2">
        <v>62878</v>
      </c>
    </row>
    <row r="611" spans="1:6" x14ac:dyDescent="0.75">
      <c r="A611">
        <v>2024</v>
      </c>
      <c r="B611" t="s">
        <v>52</v>
      </c>
      <c r="C611" t="s">
        <v>34</v>
      </c>
      <c r="D611" s="1">
        <v>4213</v>
      </c>
      <c r="E611" s="1">
        <v>140812</v>
      </c>
      <c r="F611" s="2">
        <v>59951</v>
      </c>
    </row>
    <row r="612" spans="1:6" x14ac:dyDescent="0.75">
      <c r="A612">
        <v>2024</v>
      </c>
      <c r="B612" t="s">
        <v>52</v>
      </c>
      <c r="C612" t="s">
        <v>35</v>
      </c>
      <c r="D612" s="1">
        <v>6396</v>
      </c>
      <c r="E612" s="1">
        <v>197626</v>
      </c>
      <c r="F612" s="2">
        <v>71436</v>
      </c>
    </row>
    <row r="613" spans="1:6" x14ac:dyDescent="0.75">
      <c r="A613">
        <v>2024</v>
      </c>
      <c r="B613" t="s">
        <v>52</v>
      </c>
      <c r="C613" t="s">
        <v>36</v>
      </c>
      <c r="D613" s="1">
        <v>14432</v>
      </c>
      <c r="E613" s="1">
        <v>574751</v>
      </c>
      <c r="F613" s="2">
        <v>64231</v>
      </c>
    </row>
    <row r="614" spans="1:6" x14ac:dyDescent="0.75">
      <c r="A614">
        <v>2024</v>
      </c>
      <c r="B614" t="s">
        <v>52</v>
      </c>
      <c r="C614" t="s">
        <v>37</v>
      </c>
      <c r="D614" s="1">
        <v>1636</v>
      </c>
      <c r="E614" s="1">
        <v>39736</v>
      </c>
      <c r="F614" s="2">
        <v>60286</v>
      </c>
    </row>
    <row r="615" spans="1:6" x14ac:dyDescent="0.75">
      <c r="A615">
        <v>2024</v>
      </c>
      <c r="B615" t="s">
        <v>52</v>
      </c>
      <c r="C615" t="s">
        <v>38</v>
      </c>
      <c r="D615" s="1">
        <v>6414</v>
      </c>
      <c r="E615" s="1">
        <v>258252</v>
      </c>
      <c r="F615" s="2">
        <v>60850</v>
      </c>
    </row>
    <row r="616" spans="1:6" x14ac:dyDescent="0.75">
      <c r="A616">
        <v>2024</v>
      </c>
      <c r="B616" t="s">
        <v>52</v>
      </c>
      <c r="C616" t="s">
        <v>39</v>
      </c>
      <c r="D616" s="1">
        <v>1067</v>
      </c>
      <c r="E616" s="1">
        <v>44972</v>
      </c>
      <c r="F616" s="2">
        <v>50219</v>
      </c>
    </row>
    <row r="617" spans="1:6" x14ac:dyDescent="0.75">
      <c r="A617">
        <v>2024</v>
      </c>
      <c r="B617" t="s">
        <v>52</v>
      </c>
      <c r="C617" t="s">
        <v>40</v>
      </c>
      <c r="D617" s="1">
        <v>7272</v>
      </c>
      <c r="E617" s="1">
        <v>354961</v>
      </c>
      <c r="F617" s="2">
        <v>60305</v>
      </c>
    </row>
    <row r="618" spans="1:6" x14ac:dyDescent="0.75">
      <c r="A618">
        <v>2024</v>
      </c>
      <c r="B618" t="s">
        <v>52</v>
      </c>
      <c r="C618" t="s">
        <v>41</v>
      </c>
      <c r="D618" s="1">
        <v>25577</v>
      </c>
      <c r="E618" s="1">
        <v>905953</v>
      </c>
      <c r="F618" s="2">
        <v>79766</v>
      </c>
    </row>
    <row r="619" spans="1:6" x14ac:dyDescent="0.75">
      <c r="A619">
        <v>2024</v>
      </c>
      <c r="B619" t="s">
        <v>52</v>
      </c>
      <c r="C619" t="s">
        <v>42</v>
      </c>
      <c r="D619" s="1">
        <v>4547</v>
      </c>
      <c r="E619" s="1">
        <v>136085</v>
      </c>
      <c r="F619" s="2">
        <v>59426</v>
      </c>
    </row>
    <row r="620" spans="1:6" x14ac:dyDescent="0.75">
      <c r="A620">
        <v>2024</v>
      </c>
      <c r="B620" t="s">
        <v>52</v>
      </c>
      <c r="C620" t="s">
        <v>43</v>
      </c>
      <c r="D620" s="1">
        <v>1108</v>
      </c>
      <c r="E620" s="1">
        <v>30091</v>
      </c>
      <c r="F620" s="2">
        <v>60807</v>
      </c>
    </row>
    <row r="621" spans="1:6" x14ac:dyDescent="0.75">
      <c r="A621">
        <v>2024</v>
      </c>
      <c r="B621" t="s">
        <v>52</v>
      </c>
      <c r="C621" t="s">
        <v>44</v>
      </c>
      <c r="D621" s="1">
        <v>6864</v>
      </c>
      <c r="E621" s="1">
        <v>242160</v>
      </c>
      <c r="F621" s="2">
        <v>61341</v>
      </c>
    </row>
    <row r="622" spans="1:6" x14ac:dyDescent="0.75">
      <c r="A622">
        <v>2024</v>
      </c>
      <c r="B622" t="s">
        <v>52</v>
      </c>
      <c r="C622" t="s">
        <v>45</v>
      </c>
      <c r="D622" s="1">
        <v>7824</v>
      </c>
      <c r="E622" s="1">
        <v>290326</v>
      </c>
      <c r="F622" s="2">
        <v>81228</v>
      </c>
    </row>
    <row r="623" spans="1:6" x14ac:dyDescent="0.75">
      <c r="A623">
        <v>2024</v>
      </c>
      <c r="B623" t="s">
        <v>52</v>
      </c>
      <c r="C623" t="s">
        <v>46</v>
      </c>
      <c r="D623" s="1">
        <v>1251</v>
      </c>
      <c r="E623" s="1">
        <v>46979</v>
      </c>
      <c r="F623" s="2">
        <v>61074</v>
      </c>
    </row>
    <row r="624" spans="1:6" x14ac:dyDescent="0.75">
      <c r="A624">
        <v>2024</v>
      </c>
      <c r="B624" t="s">
        <v>52</v>
      </c>
      <c r="C624" t="s">
        <v>47</v>
      </c>
      <c r="D624" s="1">
        <v>9333</v>
      </c>
      <c r="E624" s="1">
        <v>483196</v>
      </c>
      <c r="F624" s="2">
        <v>59083</v>
      </c>
    </row>
    <row r="625" spans="1:6" x14ac:dyDescent="0.75">
      <c r="A625">
        <v>2024</v>
      </c>
      <c r="B625" t="s">
        <v>52</v>
      </c>
      <c r="C625" t="s">
        <v>48</v>
      </c>
      <c r="D625">
        <v>615</v>
      </c>
      <c r="E625" s="1">
        <v>10043</v>
      </c>
      <c r="F625" s="2">
        <v>68738</v>
      </c>
    </row>
    <row r="626" spans="1:6" x14ac:dyDescent="0.75">
      <c r="A626">
        <v>2024</v>
      </c>
      <c r="B626" t="s">
        <v>54</v>
      </c>
      <c r="C626" t="s">
        <v>1</v>
      </c>
      <c r="D626" s="1">
        <v>32423</v>
      </c>
      <c r="E626" s="1">
        <v>380193</v>
      </c>
      <c r="F626" s="2">
        <v>43426</v>
      </c>
    </row>
    <row r="627" spans="1:6" x14ac:dyDescent="0.75">
      <c r="A627">
        <v>2024</v>
      </c>
      <c r="B627" t="s">
        <v>54</v>
      </c>
      <c r="C627" t="s">
        <v>2</v>
      </c>
      <c r="D627" s="1">
        <v>33190</v>
      </c>
      <c r="E627" s="1">
        <v>541793</v>
      </c>
      <c r="F627" s="2">
        <v>48023</v>
      </c>
    </row>
    <row r="628" spans="1:6" x14ac:dyDescent="0.75">
      <c r="A628">
        <v>2024</v>
      </c>
      <c r="B628" t="s">
        <v>54</v>
      </c>
      <c r="C628" t="s">
        <v>3</v>
      </c>
      <c r="D628" s="1">
        <v>21821</v>
      </c>
      <c r="E628" s="1">
        <v>248631</v>
      </c>
      <c r="F628" s="2">
        <v>42897</v>
      </c>
    </row>
    <row r="629" spans="1:6" x14ac:dyDescent="0.75">
      <c r="A629">
        <v>2024</v>
      </c>
      <c r="B629" t="s">
        <v>54</v>
      </c>
      <c r="C629" t="s">
        <v>4</v>
      </c>
      <c r="D629" s="1">
        <v>198955</v>
      </c>
      <c r="E629" s="1">
        <v>3042089</v>
      </c>
      <c r="F629" s="2">
        <v>54908</v>
      </c>
    </row>
    <row r="630" spans="1:6" x14ac:dyDescent="0.75">
      <c r="A630">
        <v>2024</v>
      </c>
      <c r="B630" t="s">
        <v>54</v>
      </c>
      <c r="C630" t="s">
        <v>5</v>
      </c>
      <c r="D630" s="1">
        <v>36041</v>
      </c>
      <c r="E630" s="1">
        <v>474011</v>
      </c>
      <c r="F630" s="2">
        <v>52675</v>
      </c>
    </row>
    <row r="631" spans="1:6" x14ac:dyDescent="0.75">
      <c r="A631">
        <v>2024</v>
      </c>
      <c r="B631" t="s">
        <v>54</v>
      </c>
      <c r="C631" t="s">
        <v>6</v>
      </c>
      <c r="D631" s="1">
        <v>24868</v>
      </c>
      <c r="E631" s="1">
        <v>291966</v>
      </c>
      <c r="F631" s="2">
        <v>52540</v>
      </c>
    </row>
    <row r="632" spans="1:6" x14ac:dyDescent="0.75">
      <c r="A632">
        <v>2024</v>
      </c>
      <c r="B632" t="s">
        <v>54</v>
      </c>
      <c r="C632" t="s">
        <v>7</v>
      </c>
      <c r="D632" s="1">
        <v>7005</v>
      </c>
      <c r="E632" s="1">
        <v>79487</v>
      </c>
      <c r="F632" s="2">
        <v>42440</v>
      </c>
    </row>
    <row r="633" spans="1:6" x14ac:dyDescent="0.75">
      <c r="A633">
        <v>2024</v>
      </c>
      <c r="B633" t="s">
        <v>54</v>
      </c>
      <c r="C633" t="s">
        <v>8</v>
      </c>
      <c r="D633" s="1">
        <v>140278</v>
      </c>
      <c r="E633" s="1">
        <v>1799930</v>
      </c>
      <c r="F633" s="2">
        <v>46232</v>
      </c>
    </row>
    <row r="634" spans="1:6" x14ac:dyDescent="0.75">
      <c r="A634">
        <v>2024</v>
      </c>
      <c r="B634" t="s">
        <v>54</v>
      </c>
      <c r="C634" t="s">
        <v>9</v>
      </c>
      <c r="D634" s="1">
        <v>61774</v>
      </c>
      <c r="E634" s="1">
        <v>938063</v>
      </c>
      <c r="F634" s="2">
        <v>49817</v>
      </c>
    </row>
    <row r="635" spans="1:6" x14ac:dyDescent="0.75">
      <c r="A635">
        <v>2024</v>
      </c>
      <c r="B635" t="s">
        <v>54</v>
      </c>
      <c r="C635" t="s">
        <v>10</v>
      </c>
      <c r="D635" s="1">
        <v>11892</v>
      </c>
      <c r="E635" s="1">
        <v>142186</v>
      </c>
      <c r="F635" s="2">
        <v>41533</v>
      </c>
    </row>
    <row r="636" spans="1:6" x14ac:dyDescent="0.75">
      <c r="A636">
        <v>2024</v>
      </c>
      <c r="B636" t="s">
        <v>54</v>
      </c>
      <c r="C636" t="s">
        <v>11</v>
      </c>
      <c r="D636" s="1">
        <v>78822</v>
      </c>
      <c r="E636" s="1">
        <v>1187941</v>
      </c>
      <c r="F636" s="2">
        <v>53573</v>
      </c>
    </row>
    <row r="637" spans="1:6" x14ac:dyDescent="0.75">
      <c r="A637">
        <v>2024</v>
      </c>
      <c r="B637" t="s">
        <v>54</v>
      </c>
      <c r="C637" t="s">
        <v>12</v>
      </c>
      <c r="D637" s="1">
        <v>40283</v>
      </c>
      <c r="E637" s="1">
        <v>594348</v>
      </c>
      <c r="F637" s="2">
        <v>43345</v>
      </c>
    </row>
    <row r="638" spans="1:6" x14ac:dyDescent="0.75">
      <c r="A638">
        <v>2024</v>
      </c>
      <c r="B638" t="s">
        <v>54</v>
      </c>
      <c r="C638" t="s">
        <v>13</v>
      </c>
      <c r="D638" s="1">
        <v>23557</v>
      </c>
      <c r="E638" s="1">
        <v>307822</v>
      </c>
      <c r="F638" s="2">
        <v>41407</v>
      </c>
    </row>
    <row r="639" spans="1:6" x14ac:dyDescent="0.75">
      <c r="A639">
        <v>2024</v>
      </c>
      <c r="B639" t="s">
        <v>54</v>
      </c>
      <c r="C639" t="s">
        <v>14</v>
      </c>
      <c r="D639" s="1">
        <v>19844</v>
      </c>
      <c r="E639" s="1">
        <v>262383</v>
      </c>
      <c r="F639" s="2">
        <v>43539</v>
      </c>
    </row>
    <row r="640" spans="1:6" x14ac:dyDescent="0.75">
      <c r="A640">
        <v>2024</v>
      </c>
      <c r="B640" t="s">
        <v>54</v>
      </c>
      <c r="C640" t="s">
        <v>15</v>
      </c>
      <c r="D640" s="1">
        <v>27892</v>
      </c>
      <c r="E640" s="1">
        <v>401804</v>
      </c>
      <c r="F640" s="2">
        <v>44163</v>
      </c>
    </row>
    <row r="641" spans="1:6" x14ac:dyDescent="0.75">
      <c r="A641">
        <v>2024</v>
      </c>
      <c r="B641" t="s">
        <v>54</v>
      </c>
      <c r="C641" t="s">
        <v>16</v>
      </c>
      <c r="D641" s="1">
        <v>30876</v>
      </c>
      <c r="E641" s="1">
        <v>376026</v>
      </c>
      <c r="F641" s="2">
        <v>43579</v>
      </c>
    </row>
    <row r="642" spans="1:6" x14ac:dyDescent="0.75">
      <c r="A642">
        <v>2024</v>
      </c>
      <c r="B642" t="s">
        <v>54</v>
      </c>
      <c r="C642" t="s">
        <v>17</v>
      </c>
      <c r="D642" s="1">
        <v>10676</v>
      </c>
      <c r="E642" s="1">
        <v>117746</v>
      </c>
      <c r="F642" s="2">
        <v>39115</v>
      </c>
    </row>
    <row r="643" spans="1:6" x14ac:dyDescent="0.75">
      <c r="A643">
        <v>2024</v>
      </c>
      <c r="B643" t="s">
        <v>54</v>
      </c>
      <c r="C643" t="s">
        <v>18</v>
      </c>
      <c r="D643" s="1">
        <v>32640</v>
      </c>
      <c r="E643" s="1">
        <v>463647</v>
      </c>
      <c r="F643" s="2">
        <v>47503</v>
      </c>
    </row>
    <row r="644" spans="1:6" x14ac:dyDescent="0.75">
      <c r="A644">
        <v>2024</v>
      </c>
      <c r="B644" t="s">
        <v>54</v>
      </c>
      <c r="C644" t="s">
        <v>19</v>
      </c>
      <c r="D644" s="1">
        <v>41620</v>
      </c>
      <c r="E644" s="1">
        <v>577282</v>
      </c>
      <c r="F644" s="2">
        <v>55423</v>
      </c>
    </row>
    <row r="645" spans="1:6" x14ac:dyDescent="0.75">
      <c r="A645">
        <v>2024</v>
      </c>
      <c r="B645" t="s">
        <v>54</v>
      </c>
      <c r="C645" t="s">
        <v>20</v>
      </c>
      <c r="D645" s="1">
        <v>55150</v>
      </c>
      <c r="E645" s="1">
        <v>791177</v>
      </c>
      <c r="F645" s="2">
        <v>48357</v>
      </c>
    </row>
    <row r="646" spans="1:6" x14ac:dyDescent="0.75">
      <c r="A646">
        <v>2024</v>
      </c>
      <c r="B646" t="s">
        <v>54</v>
      </c>
      <c r="C646" t="s">
        <v>21</v>
      </c>
      <c r="D646" s="1">
        <v>37323</v>
      </c>
      <c r="E646" s="1">
        <v>525857</v>
      </c>
      <c r="F646" s="2">
        <v>50523</v>
      </c>
    </row>
    <row r="647" spans="1:6" x14ac:dyDescent="0.75">
      <c r="A647">
        <v>2024</v>
      </c>
      <c r="B647" t="s">
        <v>54</v>
      </c>
      <c r="C647" t="s">
        <v>22</v>
      </c>
      <c r="D647" s="1">
        <v>19568</v>
      </c>
      <c r="E647" s="1">
        <v>229039</v>
      </c>
      <c r="F647" s="2">
        <v>37621</v>
      </c>
    </row>
    <row r="648" spans="1:6" x14ac:dyDescent="0.75">
      <c r="A648">
        <v>2024</v>
      </c>
      <c r="B648" t="s">
        <v>54</v>
      </c>
      <c r="C648" t="s">
        <v>23</v>
      </c>
      <c r="D648" s="1">
        <v>39400</v>
      </c>
      <c r="E648" s="1">
        <v>536753</v>
      </c>
      <c r="F648" s="2">
        <v>43646</v>
      </c>
    </row>
    <row r="649" spans="1:6" x14ac:dyDescent="0.75">
      <c r="A649">
        <v>2024</v>
      </c>
      <c r="B649" t="s">
        <v>54</v>
      </c>
      <c r="C649" t="s">
        <v>24</v>
      </c>
      <c r="D649" s="1">
        <v>9112</v>
      </c>
      <c r="E649" s="1">
        <v>90946</v>
      </c>
      <c r="F649" s="2">
        <v>40937</v>
      </c>
    </row>
    <row r="650" spans="1:6" x14ac:dyDescent="0.75">
      <c r="A650">
        <v>2024</v>
      </c>
      <c r="B650" t="s">
        <v>54</v>
      </c>
      <c r="C650" t="s">
        <v>25</v>
      </c>
      <c r="D650" s="1">
        <v>14969</v>
      </c>
      <c r="E650" s="1">
        <v>188094</v>
      </c>
      <c r="F650" s="2">
        <v>41557</v>
      </c>
    </row>
    <row r="651" spans="1:6" x14ac:dyDescent="0.75">
      <c r="A651">
        <v>2024</v>
      </c>
      <c r="B651" t="s">
        <v>54</v>
      </c>
      <c r="C651" t="s">
        <v>26</v>
      </c>
      <c r="D651" s="1">
        <v>15866</v>
      </c>
      <c r="E651" s="1">
        <v>261018</v>
      </c>
      <c r="F651" s="2">
        <v>45452</v>
      </c>
    </row>
    <row r="652" spans="1:6" x14ac:dyDescent="0.75">
      <c r="A652">
        <v>2024</v>
      </c>
      <c r="B652" t="s">
        <v>54</v>
      </c>
      <c r="C652" t="s">
        <v>27</v>
      </c>
      <c r="D652" s="1">
        <v>12448</v>
      </c>
      <c r="E652" s="1">
        <v>139278</v>
      </c>
      <c r="F652" s="2">
        <v>49409</v>
      </c>
    </row>
    <row r="653" spans="1:6" x14ac:dyDescent="0.75">
      <c r="A653">
        <v>2024</v>
      </c>
      <c r="B653" t="s">
        <v>54</v>
      </c>
      <c r="C653" t="s">
        <v>28</v>
      </c>
      <c r="D653" s="1">
        <v>54227</v>
      </c>
      <c r="E653" s="1">
        <v>876452</v>
      </c>
      <c r="F653" s="2">
        <v>55204</v>
      </c>
    </row>
    <row r="654" spans="1:6" x14ac:dyDescent="0.75">
      <c r="A654">
        <v>2024</v>
      </c>
      <c r="B654" t="s">
        <v>54</v>
      </c>
      <c r="C654" t="s">
        <v>29</v>
      </c>
      <c r="D654" s="1">
        <v>10974</v>
      </c>
      <c r="E654" s="1">
        <v>135131</v>
      </c>
      <c r="F654" s="2">
        <v>39275</v>
      </c>
    </row>
    <row r="655" spans="1:6" x14ac:dyDescent="0.75">
      <c r="A655">
        <v>2024</v>
      </c>
      <c r="B655" t="s">
        <v>54</v>
      </c>
      <c r="C655" t="s">
        <v>30</v>
      </c>
      <c r="D655" s="1">
        <v>120950</v>
      </c>
      <c r="E655" s="1">
        <v>1543991</v>
      </c>
      <c r="F655" s="2">
        <v>53710</v>
      </c>
    </row>
    <row r="656" spans="1:6" x14ac:dyDescent="0.75">
      <c r="A656">
        <v>2024</v>
      </c>
      <c r="B656" t="s">
        <v>54</v>
      </c>
      <c r="C656" t="s">
        <v>31</v>
      </c>
      <c r="D656" s="1">
        <v>62397</v>
      </c>
      <c r="E656" s="1">
        <v>846177</v>
      </c>
      <c r="F656" s="2">
        <v>44579</v>
      </c>
    </row>
    <row r="657" spans="1:6" x14ac:dyDescent="0.75">
      <c r="A657">
        <v>2024</v>
      </c>
      <c r="B657" t="s">
        <v>54</v>
      </c>
      <c r="C657" t="s">
        <v>32</v>
      </c>
      <c r="D657" s="1">
        <v>7738</v>
      </c>
      <c r="E657" s="1">
        <v>91333</v>
      </c>
      <c r="F657" s="2">
        <v>51925</v>
      </c>
    </row>
    <row r="658" spans="1:6" x14ac:dyDescent="0.75">
      <c r="A658">
        <v>2024</v>
      </c>
      <c r="B658" t="s">
        <v>54</v>
      </c>
      <c r="C658" t="s">
        <v>33</v>
      </c>
      <c r="D658" s="1">
        <v>68958</v>
      </c>
      <c r="E658" s="1">
        <v>1021890</v>
      </c>
      <c r="F658" s="2">
        <v>45569</v>
      </c>
    </row>
    <row r="659" spans="1:6" x14ac:dyDescent="0.75">
      <c r="A659">
        <v>2024</v>
      </c>
      <c r="B659" t="s">
        <v>54</v>
      </c>
      <c r="C659" t="s">
        <v>34</v>
      </c>
      <c r="D659" s="1">
        <v>23883</v>
      </c>
      <c r="E659" s="1">
        <v>300268</v>
      </c>
      <c r="F659" s="2">
        <v>43049</v>
      </c>
    </row>
    <row r="660" spans="1:6" x14ac:dyDescent="0.75">
      <c r="A660">
        <v>2024</v>
      </c>
      <c r="B660" t="s">
        <v>54</v>
      </c>
      <c r="C660" t="s">
        <v>35</v>
      </c>
      <c r="D660" s="1">
        <v>26460</v>
      </c>
      <c r="E660" s="1">
        <v>354168</v>
      </c>
      <c r="F660" s="2">
        <v>45879</v>
      </c>
    </row>
    <row r="661" spans="1:6" x14ac:dyDescent="0.75">
      <c r="A661">
        <v>2024</v>
      </c>
      <c r="B661" t="s">
        <v>54</v>
      </c>
      <c r="C661" t="s">
        <v>36</v>
      </c>
      <c r="D661" s="1">
        <v>74684</v>
      </c>
      <c r="E661" s="1">
        <v>1117033</v>
      </c>
      <c r="F661" s="2">
        <v>46296</v>
      </c>
    </row>
    <row r="662" spans="1:6" x14ac:dyDescent="0.75">
      <c r="A662">
        <v>2024</v>
      </c>
      <c r="B662" t="s">
        <v>54</v>
      </c>
      <c r="C662" t="s">
        <v>37</v>
      </c>
      <c r="D662" s="1">
        <v>7648</v>
      </c>
      <c r="E662" s="1">
        <v>76672</v>
      </c>
      <c r="F662" s="2">
        <v>45232</v>
      </c>
    </row>
    <row r="663" spans="1:6" x14ac:dyDescent="0.75">
      <c r="A663">
        <v>2024</v>
      </c>
      <c r="B663" t="s">
        <v>54</v>
      </c>
      <c r="C663" t="s">
        <v>38</v>
      </c>
      <c r="D663" s="1">
        <v>31073</v>
      </c>
      <c r="E663" s="1">
        <v>406455</v>
      </c>
      <c r="F663" s="2">
        <v>41048</v>
      </c>
    </row>
    <row r="664" spans="1:6" x14ac:dyDescent="0.75">
      <c r="A664">
        <v>2024</v>
      </c>
      <c r="B664" t="s">
        <v>54</v>
      </c>
      <c r="C664" t="s">
        <v>39</v>
      </c>
      <c r="D664" s="1">
        <v>8027</v>
      </c>
      <c r="E664" s="1">
        <v>85125</v>
      </c>
      <c r="F664" s="2">
        <v>40980</v>
      </c>
    </row>
    <row r="665" spans="1:6" x14ac:dyDescent="0.75">
      <c r="A665">
        <v>2024</v>
      </c>
      <c r="B665" t="s">
        <v>54</v>
      </c>
      <c r="C665" t="s">
        <v>40</v>
      </c>
      <c r="D665" s="1">
        <v>40380</v>
      </c>
      <c r="E665" s="1">
        <v>633819</v>
      </c>
      <c r="F665" s="2">
        <v>46991</v>
      </c>
    </row>
    <row r="666" spans="1:6" x14ac:dyDescent="0.75">
      <c r="A666">
        <v>2024</v>
      </c>
      <c r="B666" t="s">
        <v>54</v>
      </c>
      <c r="C666" t="s">
        <v>41</v>
      </c>
      <c r="D666" s="1">
        <v>150310</v>
      </c>
      <c r="E666" s="1">
        <v>2496193</v>
      </c>
      <c r="F666" s="2">
        <v>54323</v>
      </c>
    </row>
    <row r="667" spans="1:6" x14ac:dyDescent="0.75">
      <c r="A667">
        <v>2024</v>
      </c>
      <c r="B667" t="s">
        <v>54</v>
      </c>
      <c r="C667" t="s">
        <v>42</v>
      </c>
      <c r="D667" s="1">
        <v>20066</v>
      </c>
      <c r="E667" s="1">
        <v>289140</v>
      </c>
      <c r="F667" s="2">
        <v>45785</v>
      </c>
    </row>
    <row r="668" spans="1:6" x14ac:dyDescent="0.75">
      <c r="A668">
        <v>2024</v>
      </c>
      <c r="B668" t="s">
        <v>54</v>
      </c>
      <c r="C668" t="s">
        <v>43</v>
      </c>
      <c r="D668" s="1">
        <v>5040</v>
      </c>
      <c r="E668" s="1">
        <v>53817</v>
      </c>
      <c r="F668" s="2">
        <v>41456</v>
      </c>
    </row>
    <row r="669" spans="1:6" x14ac:dyDescent="0.75">
      <c r="A669">
        <v>2024</v>
      </c>
      <c r="B669" t="s">
        <v>54</v>
      </c>
      <c r="C669" t="s">
        <v>44</v>
      </c>
      <c r="D669" s="1">
        <v>42839</v>
      </c>
      <c r="E669" s="1">
        <v>650148</v>
      </c>
      <c r="F669" s="2">
        <v>45486</v>
      </c>
    </row>
    <row r="670" spans="1:6" x14ac:dyDescent="0.75">
      <c r="A670">
        <v>2024</v>
      </c>
      <c r="B670" t="s">
        <v>54</v>
      </c>
      <c r="C670" t="s">
        <v>45</v>
      </c>
      <c r="D670" s="1">
        <v>38692</v>
      </c>
      <c r="E670" s="1">
        <v>628543</v>
      </c>
      <c r="F670" s="2">
        <v>67312</v>
      </c>
    </row>
    <row r="671" spans="1:6" x14ac:dyDescent="0.75">
      <c r="A671">
        <v>2024</v>
      </c>
      <c r="B671" t="s">
        <v>54</v>
      </c>
      <c r="C671" t="s">
        <v>46</v>
      </c>
      <c r="D671" s="1">
        <v>10709</v>
      </c>
      <c r="E671" s="1">
        <v>125470</v>
      </c>
      <c r="F671" s="2">
        <v>40148</v>
      </c>
    </row>
    <row r="672" spans="1:6" x14ac:dyDescent="0.75">
      <c r="A672">
        <v>2024</v>
      </c>
      <c r="B672" t="s">
        <v>54</v>
      </c>
      <c r="C672" t="s">
        <v>47</v>
      </c>
      <c r="D672" s="1">
        <v>36253</v>
      </c>
      <c r="E672" s="1">
        <v>533175</v>
      </c>
      <c r="F672" s="2">
        <v>42647</v>
      </c>
    </row>
    <row r="673" spans="1:6" x14ac:dyDescent="0.75">
      <c r="A673">
        <v>2024</v>
      </c>
      <c r="B673" t="s">
        <v>54</v>
      </c>
      <c r="C673" t="s">
        <v>48</v>
      </c>
      <c r="D673" s="1">
        <v>4819</v>
      </c>
      <c r="E673" s="1">
        <v>49901</v>
      </c>
      <c r="F673" s="2">
        <v>44408</v>
      </c>
    </row>
    <row r="674" spans="1:6" x14ac:dyDescent="0.75">
      <c r="A674">
        <v>2024</v>
      </c>
      <c r="B674" t="s">
        <v>53</v>
      </c>
      <c r="C674" t="s">
        <v>1</v>
      </c>
      <c r="D674" s="1">
        <v>2309</v>
      </c>
      <c r="E674" s="1">
        <v>21296</v>
      </c>
      <c r="F674" s="2">
        <v>62845</v>
      </c>
    </row>
    <row r="675" spans="1:6" x14ac:dyDescent="0.75">
      <c r="A675">
        <v>2024</v>
      </c>
      <c r="B675" t="s">
        <v>53</v>
      </c>
      <c r="C675" t="s">
        <v>2</v>
      </c>
      <c r="D675" s="1">
        <v>3691</v>
      </c>
      <c r="E675" s="1">
        <v>49188</v>
      </c>
      <c r="F675" s="2">
        <v>77822</v>
      </c>
    </row>
    <row r="676" spans="1:6" x14ac:dyDescent="0.75">
      <c r="A676">
        <v>2024</v>
      </c>
      <c r="B676" t="s">
        <v>53</v>
      </c>
      <c r="C676" t="s">
        <v>3</v>
      </c>
      <c r="D676" s="1">
        <v>1303</v>
      </c>
      <c r="E676" s="1">
        <v>10974</v>
      </c>
      <c r="F676" s="2">
        <v>57981</v>
      </c>
    </row>
    <row r="677" spans="1:6" x14ac:dyDescent="0.75">
      <c r="A677">
        <v>2024</v>
      </c>
      <c r="B677" t="s">
        <v>53</v>
      </c>
      <c r="C677" t="s">
        <v>4</v>
      </c>
      <c r="D677" s="1">
        <v>28529</v>
      </c>
      <c r="E677" s="1">
        <v>550084</v>
      </c>
      <c r="F677" s="2">
        <v>191278</v>
      </c>
    </row>
    <row r="678" spans="1:6" x14ac:dyDescent="0.75">
      <c r="A678">
        <v>2024</v>
      </c>
      <c r="B678" t="s">
        <v>53</v>
      </c>
      <c r="C678" t="s">
        <v>5</v>
      </c>
      <c r="D678" s="1">
        <v>4330</v>
      </c>
      <c r="E678" s="1">
        <v>76292</v>
      </c>
      <c r="F678" s="2">
        <v>109380</v>
      </c>
    </row>
    <row r="679" spans="1:6" x14ac:dyDescent="0.75">
      <c r="A679">
        <v>2024</v>
      </c>
      <c r="B679" t="s">
        <v>53</v>
      </c>
      <c r="C679" t="s">
        <v>6</v>
      </c>
      <c r="D679" s="1">
        <v>2551</v>
      </c>
      <c r="E679" s="1">
        <v>31469</v>
      </c>
      <c r="F679" s="2">
        <v>120406</v>
      </c>
    </row>
    <row r="680" spans="1:6" x14ac:dyDescent="0.75">
      <c r="A680">
        <v>2024</v>
      </c>
      <c r="B680" t="s">
        <v>53</v>
      </c>
      <c r="C680" t="s">
        <v>7</v>
      </c>
      <c r="D680">
        <v>497</v>
      </c>
      <c r="E680" s="1">
        <v>3905</v>
      </c>
      <c r="F680" s="2">
        <v>70031</v>
      </c>
    </row>
    <row r="681" spans="1:6" x14ac:dyDescent="0.75">
      <c r="A681">
        <v>2024</v>
      </c>
      <c r="B681" t="s">
        <v>53</v>
      </c>
      <c r="C681" t="s">
        <v>8</v>
      </c>
      <c r="D681" s="1">
        <v>11744</v>
      </c>
      <c r="E681" s="1">
        <v>138845</v>
      </c>
      <c r="F681" s="2">
        <v>86153</v>
      </c>
    </row>
    <row r="682" spans="1:6" x14ac:dyDescent="0.75">
      <c r="A682">
        <v>2024</v>
      </c>
      <c r="B682" t="s">
        <v>53</v>
      </c>
      <c r="C682" t="s">
        <v>9</v>
      </c>
      <c r="D682" s="1">
        <v>5380</v>
      </c>
      <c r="E682" s="1">
        <v>116215</v>
      </c>
      <c r="F682" s="2">
        <v>100462</v>
      </c>
    </row>
    <row r="683" spans="1:6" x14ac:dyDescent="0.75">
      <c r="A683">
        <v>2024</v>
      </c>
      <c r="B683" t="s">
        <v>53</v>
      </c>
      <c r="C683" t="s">
        <v>10</v>
      </c>
      <c r="D683" s="1">
        <v>1231</v>
      </c>
      <c r="E683" s="1">
        <v>8802</v>
      </c>
      <c r="F683" s="2">
        <v>56211</v>
      </c>
    </row>
    <row r="684" spans="1:6" x14ac:dyDescent="0.75">
      <c r="A684">
        <v>2024</v>
      </c>
      <c r="B684" t="s">
        <v>53</v>
      </c>
      <c r="C684" t="s">
        <v>11</v>
      </c>
      <c r="D684" s="1">
        <v>6998</v>
      </c>
      <c r="E684" s="1">
        <v>94879</v>
      </c>
      <c r="F684" s="2">
        <v>96732</v>
      </c>
    </row>
    <row r="685" spans="1:6" x14ac:dyDescent="0.75">
      <c r="A685">
        <v>2024</v>
      </c>
      <c r="B685" t="s">
        <v>53</v>
      </c>
      <c r="C685" t="s">
        <v>12</v>
      </c>
      <c r="D685" s="1">
        <v>2278</v>
      </c>
      <c r="E685" s="1">
        <v>28628</v>
      </c>
      <c r="F685" s="2">
        <v>62444</v>
      </c>
    </row>
    <row r="686" spans="1:6" x14ac:dyDescent="0.75">
      <c r="A686">
        <v>2024</v>
      </c>
      <c r="B686" t="s">
        <v>53</v>
      </c>
      <c r="C686" t="s">
        <v>13</v>
      </c>
      <c r="D686" s="1">
        <v>1778</v>
      </c>
      <c r="E686" s="1">
        <v>21356</v>
      </c>
      <c r="F686" s="2">
        <v>60664</v>
      </c>
    </row>
    <row r="687" spans="1:6" x14ac:dyDescent="0.75">
      <c r="A687">
        <v>2024</v>
      </c>
      <c r="B687" t="s">
        <v>53</v>
      </c>
      <c r="C687" t="s">
        <v>14</v>
      </c>
      <c r="D687" s="1">
        <v>1386</v>
      </c>
      <c r="E687" s="1">
        <v>18137</v>
      </c>
      <c r="F687" s="2">
        <v>66434</v>
      </c>
    </row>
    <row r="688" spans="1:6" x14ac:dyDescent="0.75">
      <c r="A688">
        <v>2024</v>
      </c>
      <c r="B688" t="s">
        <v>53</v>
      </c>
      <c r="C688" t="s">
        <v>15</v>
      </c>
      <c r="D688" s="1">
        <v>1924</v>
      </c>
      <c r="E688" s="1">
        <v>21670</v>
      </c>
      <c r="F688" s="2">
        <v>58590</v>
      </c>
    </row>
    <row r="689" spans="1:6" x14ac:dyDescent="0.75">
      <c r="A689">
        <v>2024</v>
      </c>
      <c r="B689" t="s">
        <v>53</v>
      </c>
      <c r="C689" t="s">
        <v>16</v>
      </c>
      <c r="D689" s="1">
        <v>1801</v>
      </c>
      <c r="E689" s="1">
        <v>22427</v>
      </c>
      <c r="F689" s="2">
        <v>60638</v>
      </c>
    </row>
    <row r="690" spans="1:6" x14ac:dyDescent="0.75">
      <c r="A690">
        <v>2024</v>
      </c>
      <c r="B690" t="s">
        <v>53</v>
      </c>
      <c r="C690" t="s">
        <v>17</v>
      </c>
      <c r="D690">
        <v>869</v>
      </c>
      <c r="E690" s="1">
        <v>7158</v>
      </c>
      <c r="F690" s="2">
        <v>57442</v>
      </c>
    </row>
    <row r="691" spans="1:6" x14ac:dyDescent="0.75">
      <c r="A691">
        <v>2024</v>
      </c>
      <c r="B691" t="s">
        <v>53</v>
      </c>
      <c r="C691" t="s">
        <v>18</v>
      </c>
      <c r="D691" s="1">
        <v>2846</v>
      </c>
      <c r="E691" s="1">
        <v>35678</v>
      </c>
      <c r="F691" s="2">
        <v>98834</v>
      </c>
    </row>
    <row r="692" spans="1:6" x14ac:dyDescent="0.75">
      <c r="A692">
        <v>2024</v>
      </c>
      <c r="B692" t="s">
        <v>53</v>
      </c>
      <c r="C692" t="s">
        <v>19</v>
      </c>
      <c r="D692" s="1">
        <v>5717</v>
      </c>
      <c r="E692" s="1">
        <v>93033</v>
      </c>
      <c r="F692" s="2">
        <v>128022</v>
      </c>
    </row>
    <row r="693" spans="1:6" x14ac:dyDescent="0.75">
      <c r="A693">
        <v>2024</v>
      </c>
      <c r="B693" t="s">
        <v>53</v>
      </c>
      <c r="C693" t="s">
        <v>20</v>
      </c>
      <c r="D693" s="1">
        <v>7146</v>
      </c>
      <c r="E693" s="1">
        <v>55298</v>
      </c>
      <c r="F693" s="2">
        <v>77504</v>
      </c>
    </row>
    <row r="694" spans="1:6" x14ac:dyDescent="0.75">
      <c r="A694">
        <v>2024</v>
      </c>
      <c r="B694" t="s">
        <v>53</v>
      </c>
      <c r="C694" t="s">
        <v>21</v>
      </c>
      <c r="D694" s="1">
        <v>4133</v>
      </c>
      <c r="E694" s="1">
        <v>46906</v>
      </c>
      <c r="F694" s="2">
        <v>83846</v>
      </c>
    </row>
    <row r="695" spans="1:6" x14ac:dyDescent="0.75">
      <c r="A695">
        <v>2024</v>
      </c>
      <c r="B695" t="s">
        <v>53</v>
      </c>
      <c r="C695" t="s">
        <v>22</v>
      </c>
      <c r="D695">
        <v>944</v>
      </c>
      <c r="E695" s="1">
        <v>10695</v>
      </c>
      <c r="F695" s="2">
        <v>49438</v>
      </c>
    </row>
    <row r="696" spans="1:6" x14ac:dyDescent="0.75">
      <c r="A696">
        <v>2024</v>
      </c>
      <c r="B696" t="s">
        <v>53</v>
      </c>
      <c r="C696" t="s">
        <v>23</v>
      </c>
      <c r="D696" s="1">
        <v>3310</v>
      </c>
      <c r="E696" s="1">
        <v>46729</v>
      </c>
      <c r="F696" s="2">
        <v>85960</v>
      </c>
    </row>
    <row r="697" spans="1:6" x14ac:dyDescent="0.75">
      <c r="A697">
        <v>2024</v>
      </c>
      <c r="B697" t="s">
        <v>53</v>
      </c>
      <c r="C697" t="s">
        <v>24</v>
      </c>
      <c r="D697">
        <v>799</v>
      </c>
      <c r="E697" s="1">
        <v>6210</v>
      </c>
      <c r="F697" s="2">
        <v>56592</v>
      </c>
    </row>
    <row r="698" spans="1:6" x14ac:dyDescent="0.75">
      <c r="A698">
        <v>2024</v>
      </c>
      <c r="B698" t="s">
        <v>53</v>
      </c>
      <c r="C698" t="s">
        <v>25</v>
      </c>
      <c r="D698" s="1">
        <v>1015</v>
      </c>
      <c r="E698" s="1">
        <v>17258</v>
      </c>
      <c r="F698" s="2">
        <v>66732</v>
      </c>
    </row>
    <row r="699" spans="1:6" x14ac:dyDescent="0.75">
      <c r="A699">
        <v>2024</v>
      </c>
      <c r="B699" t="s">
        <v>53</v>
      </c>
      <c r="C699" t="s">
        <v>26</v>
      </c>
      <c r="D699" s="1">
        <v>1664</v>
      </c>
      <c r="E699" s="1">
        <v>15847</v>
      </c>
      <c r="F699" s="2">
        <v>73213</v>
      </c>
    </row>
    <row r="700" spans="1:6" x14ac:dyDescent="0.75">
      <c r="A700">
        <v>2024</v>
      </c>
      <c r="B700" t="s">
        <v>53</v>
      </c>
      <c r="C700" t="s">
        <v>27</v>
      </c>
      <c r="D700" s="1">
        <v>1037</v>
      </c>
      <c r="E700" s="1">
        <v>12334</v>
      </c>
      <c r="F700" s="2">
        <v>97212</v>
      </c>
    </row>
    <row r="701" spans="1:6" x14ac:dyDescent="0.75">
      <c r="A701">
        <v>2024</v>
      </c>
      <c r="B701" t="s">
        <v>53</v>
      </c>
      <c r="C701" t="s">
        <v>28</v>
      </c>
      <c r="D701" s="1">
        <v>3724</v>
      </c>
      <c r="E701" s="1">
        <v>67578</v>
      </c>
      <c r="F701" s="2">
        <v>117433</v>
      </c>
    </row>
    <row r="702" spans="1:6" x14ac:dyDescent="0.75">
      <c r="A702">
        <v>2024</v>
      </c>
      <c r="B702" t="s">
        <v>53</v>
      </c>
      <c r="C702" t="s">
        <v>29</v>
      </c>
      <c r="D702" s="1">
        <v>1074</v>
      </c>
      <c r="E702" s="1">
        <v>11166</v>
      </c>
      <c r="F702" s="2">
        <v>57554</v>
      </c>
    </row>
    <row r="703" spans="1:6" x14ac:dyDescent="0.75">
      <c r="A703">
        <v>2024</v>
      </c>
      <c r="B703" t="s">
        <v>53</v>
      </c>
      <c r="C703" t="s">
        <v>30</v>
      </c>
      <c r="D703" s="1">
        <v>12812</v>
      </c>
      <c r="E703" s="1">
        <v>277408</v>
      </c>
      <c r="F703" s="2">
        <v>135959</v>
      </c>
    </row>
    <row r="704" spans="1:6" x14ac:dyDescent="0.75">
      <c r="A704">
        <v>2024</v>
      </c>
      <c r="B704" t="s">
        <v>53</v>
      </c>
      <c r="C704" t="s">
        <v>31</v>
      </c>
      <c r="D704" s="1">
        <v>5669</v>
      </c>
      <c r="E704" s="1">
        <v>75919</v>
      </c>
      <c r="F704" s="2">
        <v>87039</v>
      </c>
    </row>
    <row r="705" spans="1:6" x14ac:dyDescent="0.75">
      <c r="A705">
        <v>2024</v>
      </c>
      <c r="B705" t="s">
        <v>53</v>
      </c>
      <c r="C705" t="s">
        <v>32</v>
      </c>
      <c r="D705">
        <v>402</v>
      </c>
      <c r="E705" s="1">
        <v>6093</v>
      </c>
      <c r="F705" s="2">
        <v>71543</v>
      </c>
    </row>
    <row r="706" spans="1:6" x14ac:dyDescent="0.75">
      <c r="A706">
        <v>2024</v>
      </c>
      <c r="B706" t="s">
        <v>53</v>
      </c>
      <c r="C706" t="s">
        <v>33</v>
      </c>
      <c r="D706" s="1">
        <v>4915</v>
      </c>
      <c r="E706" s="1">
        <v>69330</v>
      </c>
      <c r="F706" s="2">
        <v>72613</v>
      </c>
    </row>
    <row r="707" spans="1:6" x14ac:dyDescent="0.75">
      <c r="A707">
        <v>2024</v>
      </c>
      <c r="B707" t="s">
        <v>53</v>
      </c>
      <c r="C707" t="s">
        <v>34</v>
      </c>
      <c r="D707" s="1">
        <v>1550</v>
      </c>
      <c r="E707" s="1">
        <v>19627</v>
      </c>
      <c r="F707" s="2">
        <v>60407</v>
      </c>
    </row>
    <row r="708" spans="1:6" x14ac:dyDescent="0.75">
      <c r="A708">
        <v>2024</v>
      </c>
      <c r="B708" t="s">
        <v>53</v>
      </c>
      <c r="C708" t="s">
        <v>35</v>
      </c>
      <c r="D708" s="1">
        <v>4135</v>
      </c>
      <c r="E708" s="1">
        <v>35053</v>
      </c>
      <c r="F708" s="2">
        <v>89633</v>
      </c>
    </row>
    <row r="709" spans="1:6" x14ac:dyDescent="0.75">
      <c r="A709">
        <v>2024</v>
      </c>
      <c r="B709" t="s">
        <v>53</v>
      </c>
      <c r="C709" t="s">
        <v>36</v>
      </c>
      <c r="D709" s="1">
        <v>5348</v>
      </c>
      <c r="E709" s="1">
        <v>87043</v>
      </c>
      <c r="F709" s="2">
        <v>94900</v>
      </c>
    </row>
    <row r="710" spans="1:6" x14ac:dyDescent="0.75">
      <c r="A710">
        <v>2024</v>
      </c>
      <c r="B710" t="s">
        <v>53</v>
      </c>
      <c r="C710" t="s">
        <v>37</v>
      </c>
      <c r="D710">
        <v>714</v>
      </c>
      <c r="E710" s="1">
        <v>5878</v>
      </c>
      <c r="F710" s="2">
        <v>76409</v>
      </c>
    </row>
    <row r="711" spans="1:6" x14ac:dyDescent="0.75">
      <c r="A711">
        <v>2024</v>
      </c>
      <c r="B711" t="s">
        <v>53</v>
      </c>
      <c r="C711" t="s">
        <v>38</v>
      </c>
      <c r="D711" s="1">
        <v>2883</v>
      </c>
      <c r="E711" s="1">
        <v>26869</v>
      </c>
      <c r="F711" s="2">
        <v>66032</v>
      </c>
    </row>
    <row r="712" spans="1:6" x14ac:dyDescent="0.75">
      <c r="A712">
        <v>2024</v>
      </c>
      <c r="B712" t="s">
        <v>53</v>
      </c>
      <c r="C712" t="s">
        <v>39</v>
      </c>
      <c r="D712">
        <v>589</v>
      </c>
      <c r="E712" s="1">
        <v>5500</v>
      </c>
      <c r="F712" s="2">
        <v>51535</v>
      </c>
    </row>
    <row r="713" spans="1:6" x14ac:dyDescent="0.75">
      <c r="A713">
        <v>2024</v>
      </c>
      <c r="B713" t="s">
        <v>53</v>
      </c>
      <c r="C713" t="s">
        <v>40</v>
      </c>
      <c r="D713" s="1">
        <v>3981</v>
      </c>
      <c r="E713" s="1">
        <v>45042</v>
      </c>
      <c r="F713" s="2">
        <v>75375</v>
      </c>
    </row>
    <row r="714" spans="1:6" x14ac:dyDescent="0.75">
      <c r="A714">
        <v>2024</v>
      </c>
      <c r="B714" t="s">
        <v>53</v>
      </c>
      <c r="C714" t="s">
        <v>41</v>
      </c>
      <c r="D714" s="1">
        <v>10627</v>
      </c>
      <c r="E714" s="1">
        <v>208591</v>
      </c>
      <c r="F714" s="2">
        <v>90857</v>
      </c>
    </row>
    <row r="715" spans="1:6" x14ac:dyDescent="0.75">
      <c r="A715">
        <v>2024</v>
      </c>
      <c r="B715" t="s">
        <v>53</v>
      </c>
      <c r="C715" t="s">
        <v>42</v>
      </c>
      <c r="D715" s="1">
        <v>2776</v>
      </c>
      <c r="E715" s="1">
        <v>38323</v>
      </c>
      <c r="F715" s="2">
        <v>84735</v>
      </c>
    </row>
    <row r="716" spans="1:6" x14ac:dyDescent="0.75">
      <c r="A716">
        <v>2024</v>
      </c>
      <c r="B716" t="s">
        <v>53</v>
      </c>
      <c r="C716" t="s">
        <v>43</v>
      </c>
      <c r="D716">
        <v>527</v>
      </c>
      <c r="E716" s="1">
        <v>4322</v>
      </c>
      <c r="F716" s="2">
        <v>62861</v>
      </c>
    </row>
    <row r="717" spans="1:6" x14ac:dyDescent="0.75">
      <c r="A717">
        <v>2024</v>
      </c>
      <c r="B717" t="s">
        <v>53</v>
      </c>
      <c r="C717" t="s">
        <v>44</v>
      </c>
      <c r="D717" s="1">
        <v>4600</v>
      </c>
      <c r="E717" s="1">
        <v>67714</v>
      </c>
      <c r="F717" s="2">
        <v>107966</v>
      </c>
    </row>
    <row r="718" spans="1:6" x14ac:dyDescent="0.75">
      <c r="A718">
        <v>2024</v>
      </c>
      <c r="B718" t="s">
        <v>53</v>
      </c>
      <c r="C718" t="s">
        <v>45</v>
      </c>
      <c r="D718" s="1">
        <v>5007</v>
      </c>
      <c r="E718" s="1">
        <v>143883</v>
      </c>
      <c r="F718" s="2">
        <v>207135</v>
      </c>
    </row>
    <row r="719" spans="1:6" x14ac:dyDescent="0.75">
      <c r="A719">
        <v>2024</v>
      </c>
      <c r="B719" t="s">
        <v>53</v>
      </c>
      <c r="C719" t="s">
        <v>46</v>
      </c>
      <c r="D719">
        <v>818</v>
      </c>
      <c r="E719" s="1">
        <v>8072</v>
      </c>
      <c r="F719" s="2">
        <v>53281</v>
      </c>
    </row>
    <row r="720" spans="1:6" x14ac:dyDescent="0.75">
      <c r="A720">
        <v>2024</v>
      </c>
      <c r="B720" t="s">
        <v>53</v>
      </c>
      <c r="C720" t="s">
        <v>47</v>
      </c>
      <c r="D720" s="1">
        <v>2335</v>
      </c>
      <c r="E720" s="1">
        <v>46993</v>
      </c>
      <c r="F720" s="2">
        <v>82512</v>
      </c>
    </row>
    <row r="721" spans="1:6" x14ac:dyDescent="0.75">
      <c r="A721">
        <v>2024</v>
      </c>
      <c r="B721" t="s">
        <v>53</v>
      </c>
      <c r="C721" t="s">
        <v>48</v>
      </c>
      <c r="D721">
        <v>417</v>
      </c>
      <c r="E721" s="1">
        <v>3424</v>
      </c>
      <c r="F721" s="2">
        <v>49035</v>
      </c>
    </row>
    <row r="722" spans="1:6" x14ac:dyDescent="0.75">
      <c r="A722">
        <v>2024</v>
      </c>
      <c r="B722" t="s">
        <v>56</v>
      </c>
      <c r="C722" t="s">
        <v>1</v>
      </c>
      <c r="D722" s="1">
        <v>13590</v>
      </c>
      <c r="E722" s="1">
        <v>95053</v>
      </c>
      <c r="F722" s="2">
        <v>71076</v>
      </c>
    </row>
    <row r="723" spans="1:6" x14ac:dyDescent="0.75">
      <c r="A723">
        <v>2024</v>
      </c>
      <c r="B723" t="s">
        <v>56</v>
      </c>
      <c r="C723" t="s">
        <v>2</v>
      </c>
      <c r="D723" s="1">
        <v>19357</v>
      </c>
      <c r="E723" s="1">
        <v>223263</v>
      </c>
      <c r="F723" s="2">
        <v>74627</v>
      </c>
    </row>
    <row r="724" spans="1:6" x14ac:dyDescent="0.75">
      <c r="A724">
        <v>2024</v>
      </c>
      <c r="B724" t="s">
        <v>56</v>
      </c>
      <c r="C724" t="s">
        <v>3</v>
      </c>
      <c r="D724" s="1">
        <v>8591</v>
      </c>
      <c r="E724" s="1">
        <v>51934</v>
      </c>
      <c r="F724" s="2">
        <v>60198</v>
      </c>
    </row>
    <row r="725" spans="1:6" x14ac:dyDescent="0.75">
      <c r="A725">
        <v>2024</v>
      </c>
      <c r="B725" t="s">
        <v>56</v>
      </c>
      <c r="C725" t="s">
        <v>4</v>
      </c>
      <c r="D725" s="1">
        <v>109980</v>
      </c>
      <c r="E725" s="1">
        <v>841829</v>
      </c>
      <c r="F725" s="2">
        <v>112757</v>
      </c>
    </row>
    <row r="726" spans="1:6" x14ac:dyDescent="0.75">
      <c r="A726">
        <v>2024</v>
      </c>
      <c r="B726" t="s">
        <v>56</v>
      </c>
      <c r="C726" t="s">
        <v>5</v>
      </c>
      <c r="D726" s="1">
        <v>24028</v>
      </c>
      <c r="E726" s="1">
        <v>167272</v>
      </c>
      <c r="F726" s="2">
        <v>88613</v>
      </c>
    </row>
    <row r="727" spans="1:6" x14ac:dyDescent="0.75">
      <c r="A727">
        <v>2024</v>
      </c>
      <c r="B727" t="s">
        <v>56</v>
      </c>
      <c r="C727" t="s">
        <v>6</v>
      </c>
      <c r="D727" s="1">
        <v>11028</v>
      </c>
      <c r="E727" s="1">
        <v>121869</v>
      </c>
      <c r="F727" s="2">
        <v>157629</v>
      </c>
    </row>
    <row r="728" spans="1:6" x14ac:dyDescent="0.75">
      <c r="A728">
        <v>2024</v>
      </c>
      <c r="B728" t="s">
        <v>56</v>
      </c>
      <c r="C728" t="s">
        <v>7</v>
      </c>
      <c r="D728" s="1">
        <v>2907</v>
      </c>
      <c r="E728" s="1">
        <v>48162</v>
      </c>
      <c r="F728" s="2">
        <v>97426</v>
      </c>
    </row>
    <row r="729" spans="1:6" x14ac:dyDescent="0.75">
      <c r="A729">
        <v>2024</v>
      </c>
      <c r="B729" t="s">
        <v>56</v>
      </c>
      <c r="C729" t="s">
        <v>8</v>
      </c>
      <c r="D729" s="1">
        <v>76648</v>
      </c>
      <c r="E729" s="1">
        <v>585959</v>
      </c>
      <c r="F729" s="2">
        <v>77025</v>
      </c>
    </row>
    <row r="730" spans="1:6" x14ac:dyDescent="0.75">
      <c r="A730">
        <v>2024</v>
      </c>
      <c r="B730" t="s">
        <v>56</v>
      </c>
      <c r="C730" t="s">
        <v>9</v>
      </c>
      <c r="D730" s="1">
        <v>26961</v>
      </c>
      <c r="E730" s="1">
        <v>242468</v>
      </c>
      <c r="F730" s="2">
        <v>86701</v>
      </c>
    </row>
    <row r="731" spans="1:6" x14ac:dyDescent="0.75">
      <c r="A731">
        <v>2024</v>
      </c>
      <c r="B731" t="s">
        <v>56</v>
      </c>
      <c r="C731" t="s">
        <v>10</v>
      </c>
      <c r="D731" s="1">
        <v>5859</v>
      </c>
      <c r="E731" s="1">
        <v>33273</v>
      </c>
      <c r="F731" s="2">
        <v>59504</v>
      </c>
    </row>
    <row r="732" spans="1:6" x14ac:dyDescent="0.75">
      <c r="A732">
        <v>2024</v>
      </c>
      <c r="B732" t="s">
        <v>56</v>
      </c>
      <c r="C732" t="s">
        <v>11</v>
      </c>
      <c r="D732" s="1">
        <v>32792</v>
      </c>
      <c r="E732" s="1">
        <v>381941</v>
      </c>
      <c r="F732" s="2">
        <v>113091</v>
      </c>
    </row>
    <row r="733" spans="1:6" x14ac:dyDescent="0.75">
      <c r="A733">
        <v>2024</v>
      </c>
      <c r="B733" t="s">
        <v>56</v>
      </c>
      <c r="C733" t="s">
        <v>12</v>
      </c>
      <c r="D733" s="1">
        <v>16940</v>
      </c>
      <c r="E733" s="1">
        <v>135547</v>
      </c>
      <c r="F733" s="2">
        <v>67469</v>
      </c>
    </row>
    <row r="734" spans="1:6" x14ac:dyDescent="0.75">
      <c r="A734">
        <v>2024</v>
      </c>
      <c r="B734" t="s">
        <v>56</v>
      </c>
      <c r="C734" t="s">
        <v>13</v>
      </c>
      <c r="D734" s="1">
        <v>10414</v>
      </c>
      <c r="E734" s="1">
        <v>110010</v>
      </c>
      <c r="F734" s="2">
        <v>76212</v>
      </c>
    </row>
    <row r="735" spans="1:6" x14ac:dyDescent="0.75">
      <c r="A735">
        <v>2024</v>
      </c>
      <c r="B735" t="s">
        <v>56</v>
      </c>
      <c r="C735" t="s">
        <v>14</v>
      </c>
      <c r="D735" s="1">
        <v>8744</v>
      </c>
      <c r="E735" s="1">
        <v>74336</v>
      </c>
      <c r="F735" s="2">
        <v>68950</v>
      </c>
    </row>
    <row r="736" spans="1:6" x14ac:dyDescent="0.75">
      <c r="A736">
        <v>2024</v>
      </c>
      <c r="B736" t="s">
        <v>56</v>
      </c>
      <c r="C736" t="s">
        <v>15</v>
      </c>
      <c r="D736" s="1">
        <v>11201</v>
      </c>
      <c r="E736" s="1">
        <v>93556</v>
      </c>
      <c r="F736" s="2">
        <v>69885</v>
      </c>
    </row>
    <row r="737" spans="1:6" x14ac:dyDescent="0.75">
      <c r="A737">
        <v>2024</v>
      </c>
      <c r="B737" t="s">
        <v>56</v>
      </c>
      <c r="C737" t="s">
        <v>16</v>
      </c>
      <c r="D737" s="1">
        <v>13852</v>
      </c>
      <c r="E737" s="1">
        <v>84791</v>
      </c>
      <c r="F737" s="2">
        <v>63590</v>
      </c>
    </row>
    <row r="738" spans="1:6" x14ac:dyDescent="0.75">
      <c r="A738">
        <v>2024</v>
      </c>
      <c r="B738" t="s">
        <v>56</v>
      </c>
      <c r="C738" t="s">
        <v>17</v>
      </c>
      <c r="D738" s="1">
        <v>3854</v>
      </c>
      <c r="E738" s="1">
        <v>30481</v>
      </c>
      <c r="F738" s="2">
        <v>70030</v>
      </c>
    </row>
    <row r="739" spans="1:6" x14ac:dyDescent="0.75">
      <c r="A739">
        <v>2024</v>
      </c>
      <c r="B739" t="s">
        <v>56</v>
      </c>
      <c r="C739" t="s">
        <v>18</v>
      </c>
      <c r="D739" s="1">
        <v>15512</v>
      </c>
      <c r="E739" s="1">
        <v>135216</v>
      </c>
      <c r="F739" s="2">
        <v>98024</v>
      </c>
    </row>
    <row r="740" spans="1:6" x14ac:dyDescent="0.75">
      <c r="A740">
        <v>2024</v>
      </c>
      <c r="B740" t="s">
        <v>56</v>
      </c>
      <c r="C740" t="s">
        <v>19</v>
      </c>
      <c r="D740" s="1">
        <v>17883</v>
      </c>
      <c r="E740" s="1">
        <v>218858</v>
      </c>
      <c r="F740" s="2">
        <v>147565</v>
      </c>
    </row>
    <row r="741" spans="1:6" x14ac:dyDescent="0.75">
      <c r="A741">
        <v>2024</v>
      </c>
      <c r="B741" t="s">
        <v>56</v>
      </c>
      <c r="C741" t="s">
        <v>20</v>
      </c>
      <c r="D741" s="1">
        <v>19641</v>
      </c>
      <c r="E741" s="1">
        <v>208812</v>
      </c>
      <c r="F741" s="2">
        <v>73691</v>
      </c>
    </row>
    <row r="742" spans="1:6" x14ac:dyDescent="0.75">
      <c r="A742">
        <v>2024</v>
      </c>
      <c r="B742" t="s">
        <v>56</v>
      </c>
      <c r="C742" t="s">
        <v>21</v>
      </c>
      <c r="D742" s="1">
        <v>15855</v>
      </c>
      <c r="E742" s="1">
        <v>182914</v>
      </c>
      <c r="F742" s="2">
        <v>97673</v>
      </c>
    </row>
    <row r="743" spans="1:6" x14ac:dyDescent="0.75">
      <c r="A743">
        <v>2024</v>
      </c>
      <c r="B743" t="s">
        <v>56</v>
      </c>
      <c r="C743" t="s">
        <v>22</v>
      </c>
      <c r="D743" s="1">
        <v>7944</v>
      </c>
      <c r="E743" s="1">
        <v>43109</v>
      </c>
      <c r="F743" s="2">
        <v>54672</v>
      </c>
    </row>
    <row r="744" spans="1:6" x14ac:dyDescent="0.75">
      <c r="A744">
        <v>2024</v>
      </c>
      <c r="B744" t="s">
        <v>56</v>
      </c>
      <c r="C744" t="s">
        <v>23</v>
      </c>
      <c r="D744" s="1">
        <v>17951</v>
      </c>
      <c r="E744" s="1">
        <v>166025</v>
      </c>
      <c r="F744" s="2">
        <v>75387</v>
      </c>
    </row>
    <row r="745" spans="1:6" x14ac:dyDescent="0.75">
      <c r="A745">
        <v>2024</v>
      </c>
      <c r="B745" t="s">
        <v>56</v>
      </c>
      <c r="C745" t="s">
        <v>24</v>
      </c>
      <c r="D745" s="1">
        <v>4314</v>
      </c>
      <c r="E745" s="1">
        <v>22199</v>
      </c>
      <c r="F745" s="2">
        <v>60907</v>
      </c>
    </row>
    <row r="746" spans="1:6" x14ac:dyDescent="0.75">
      <c r="A746">
        <v>2024</v>
      </c>
      <c r="B746" t="s">
        <v>56</v>
      </c>
      <c r="C746" t="s">
        <v>25</v>
      </c>
      <c r="D746" s="1">
        <v>6842</v>
      </c>
      <c r="E746" s="1">
        <v>67425</v>
      </c>
      <c r="F746" s="2">
        <v>69072</v>
      </c>
    </row>
    <row r="747" spans="1:6" x14ac:dyDescent="0.75">
      <c r="A747">
        <v>2024</v>
      </c>
      <c r="B747" t="s">
        <v>56</v>
      </c>
      <c r="C747" t="s">
        <v>26</v>
      </c>
      <c r="D747" s="1">
        <v>9324</v>
      </c>
      <c r="E747" s="1">
        <v>64932</v>
      </c>
      <c r="F747" s="2">
        <v>70204</v>
      </c>
    </row>
    <row r="748" spans="1:6" x14ac:dyDescent="0.75">
      <c r="A748">
        <v>2024</v>
      </c>
      <c r="B748" t="s">
        <v>56</v>
      </c>
      <c r="C748" t="s">
        <v>27</v>
      </c>
      <c r="D748" s="1">
        <v>3881</v>
      </c>
      <c r="E748" s="1">
        <v>33418</v>
      </c>
      <c r="F748" s="2">
        <v>100104</v>
      </c>
    </row>
    <row r="749" spans="1:6" x14ac:dyDescent="0.75">
      <c r="A749">
        <v>2024</v>
      </c>
      <c r="B749" t="s">
        <v>56</v>
      </c>
      <c r="C749" t="s">
        <v>28</v>
      </c>
      <c r="D749" s="1">
        <v>20037</v>
      </c>
      <c r="E749" s="1">
        <v>243892</v>
      </c>
      <c r="F749" s="2">
        <v>117277</v>
      </c>
    </row>
    <row r="750" spans="1:6" x14ac:dyDescent="0.75">
      <c r="A750">
        <v>2024</v>
      </c>
      <c r="B750" t="s">
        <v>56</v>
      </c>
      <c r="C750" t="s">
        <v>29</v>
      </c>
      <c r="D750" s="1">
        <v>5460</v>
      </c>
      <c r="E750" s="1">
        <v>33799</v>
      </c>
      <c r="F750" s="2">
        <v>57768</v>
      </c>
    </row>
    <row r="751" spans="1:6" x14ac:dyDescent="0.75">
      <c r="A751">
        <v>2024</v>
      </c>
      <c r="B751" t="s">
        <v>56</v>
      </c>
      <c r="C751" t="s">
        <v>30</v>
      </c>
      <c r="D751" s="1">
        <v>63310</v>
      </c>
      <c r="E751" s="1">
        <v>720818</v>
      </c>
      <c r="F751" s="2">
        <v>191494</v>
      </c>
    </row>
    <row r="752" spans="1:6" x14ac:dyDescent="0.75">
      <c r="A752">
        <v>2024</v>
      </c>
      <c r="B752" t="s">
        <v>56</v>
      </c>
      <c r="C752" t="s">
        <v>31</v>
      </c>
      <c r="D752" s="1">
        <v>28672</v>
      </c>
      <c r="E752" s="1">
        <v>245903</v>
      </c>
      <c r="F752" s="2">
        <v>89886</v>
      </c>
    </row>
    <row r="753" spans="1:6" x14ac:dyDescent="0.75">
      <c r="A753">
        <v>2024</v>
      </c>
      <c r="B753" t="s">
        <v>56</v>
      </c>
      <c r="C753" t="s">
        <v>32</v>
      </c>
      <c r="D753" s="1">
        <v>2985</v>
      </c>
      <c r="E753" s="1">
        <v>23264</v>
      </c>
      <c r="F753" s="2">
        <v>65784</v>
      </c>
    </row>
    <row r="754" spans="1:6" x14ac:dyDescent="0.75">
      <c r="A754">
        <v>2024</v>
      </c>
      <c r="B754" t="s">
        <v>56</v>
      </c>
      <c r="C754" t="s">
        <v>33</v>
      </c>
      <c r="D754" s="1">
        <v>29119</v>
      </c>
      <c r="E754" s="1">
        <v>292556</v>
      </c>
      <c r="F754" s="2">
        <v>75683</v>
      </c>
    </row>
    <row r="755" spans="1:6" x14ac:dyDescent="0.75">
      <c r="A755">
        <v>2024</v>
      </c>
      <c r="B755" t="s">
        <v>56</v>
      </c>
      <c r="C755" t="s">
        <v>34</v>
      </c>
      <c r="D755" s="1">
        <v>11672</v>
      </c>
      <c r="E755" s="1">
        <v>77324</v>
      </c>
      <c r="F755" s="2">
        <v>59814</v>
      </c>
    </row>
    <row r="756" spans="1:6" x14ac:dyDescent="0.75">
      <c r="A756">
        <v>2024</v>
      </c>
      <c r="B756" t="s">
        <v>56</v>
      </c>
      <c r="C756" t="s">
        <v>35</v>
      </c>
      <c r="D756" s="1">
        <v>13190</v>
      </c>
      <c r="E756" s="1">
        <v>85425</v>
      </c>
      <c r="F756" s="2">
        <v>73291</v>
      </c>
    </row>
    <row r="757" spans="1:6" x14ac:dyDescent="0.75">
      <c r="A757">
        <v>2024</v>
      </c>
      <c r="B757" t="s">
        <v>56</v>
      </c>
      <c r="C757" t="s">
        <v>36</v>
      </c>
      <c r="D757" s="1">
        <v>29264</v>
      </c>
      <c r="E757" s="1">
        <v>329745</v>
      </c>
      <c r="F757" s="2">
        <v>90778</v>
      </c>
    </row>
    <row r="758" spans="1:6" x14ac:dyDescent="0.75">
      <c r="A758">
        <v>2024</v>
      </c>
      <c r="B758" t="s">
        <v>56</v>
      </c>
      <c r="C758" t="s">
        <v>37</v>
      </c>
      <c r="D758" s="1">
        <v>2934</v>
      </c>
      <c r="E758" s="1">
        <v>32223</v>
      </c>
      <c r="F758" s="2">
        <v>91537</v>
      </c>
    </row>
    <row r="759" spans="1:6" x14ac:dyDescent="0.75">
      <c r="A759">
        <v>2024</v>
      </c>
      <c r="B759" t="s">
        <v>56</v>
      </c>
      <c r="C759" t="s">
        <v>38</v>
      </c>
      <c r="D759" s="1">
        <v>14196</v>
      </c>
      <c r="E759" s="1">
        <v>101755</v>
      </c>
      <c r="F759" s="2">
        <v>64481</v>
      </c>
    </row>
    <row r="760" spans="1:6" x14ac:dyDescent="0.75">
      <c r="A760">
        <v>2024</v>
      </c>
      <c r="B760" t="s">
        <v>56</v>
      </c>
      <c r="C760" t="s">
        <v>39</v>
      </c>
      <c r="D760" s="1">
        <v>3315</v>
      </c>
      <c r="E760" s="1">
        <v>28483</v>
      </c>
      <c r="F760" s="2">
        <v>63499</v>
      </c>
    </row>
    <row r="761" spans="1:6" x14ac:dyDescent="0.75">
      <c r="A761">
        <v>2024</v>
      </c>
      <c r="B761" t="s">
        <v>56</v>
      </c>
      <c r="C761" t="s">
        <v>40</v>
      </c>
      <c r="D761" s="1">
        <v>16270</v>
      </c>
      <c r="E761" s="1">
        <v>157388</v>
      </c>
      <c r="F761" s="2">
        <v>77805</v>
      </c>
    </row>
    <row r="762" spans="1:6" x14ac:dyDescent="0.75">
      <c r="A762">
        <v>2024</v>
      </c>
      <c r="B762" t="s">
        <v>56</v>
      </c>
      <c r="C762" t="s">
        <v>41</v>
      </c>
      <c r="D762" s="1">
        <v>76169</v>
      </c>
      <c r="E762" s="1">
        <v>777574</v>
      </c>
      <c r="F762" s="2">
        <v>86718</v>
      </c>
    </row>
    <row r="763" spans="1:6" x14ac:dyDescent="0.75">
      <c r="A763">
        <v>2024</v>
      </c>
      <c r="B763" t="s">
        <v>56</v>
      </c>
      <c r="C763" t="s">
        <v>42</v>
      </c>
      <c r="D763" s="1">
        <v>11885</v>
      </c>
      <c r="E763" s="1">
        <v>90007</v>
      </c>
      <c r="F763" s="2">
        <v>70967</v>
      </c>
    </row>
    <row r="764" spans="1:6" x14ac:dyDescent="0.75">
      <c r="A764">
        <v>2024</v>
      </c>
      <c r="B764" t="s">
        <v>56</v>
      </c>
      <c r="C764" t="s">
        <v>43</v>
      </c>
      <c r="D764" s="1">
        <v>1709</v>
      </c>
      <c r="E764" s="1">
        <v>11948</v>
      </c>
      <c r="F764" s="2">
        <v>74642</v>
      </c>
    </row>
    <row r="765" spans="1:6" x14ac:dyDescent="0.75">
      <c r="A765">
        <v>2024</v>
      </c>
      <c r="B765" t="s">
        <v>56</v>
      </c>
      <c r="C765" t="s">
        <v>44</v>
      </c>
      <c r="D765" s="1">
        <v>22249</v>
      </c>
      <c r="E765" s="1">
        <v>198459</v>
      </c>
      <c r="F765" s="2">
        <v>88029</v>
      </c>
    </row>
    <row r="766" spans="1:6" x14ac:dyDescent="0.75">
      <c r="A766">
        <v>2024</v>
      </c>
      <c r="B766" t="s">
        <v>56</v>
      </c>
      <c r="C766" t="s">
        <v>45</v>
      </c>
      <c r="D766" s="1">
        <v>17624</v>
      </c>
      <c r="E766" s="1">
        <v>150178</v>
      </c>
      <c r="F766" s="2">
        <v>85242</v>
      </c>
    </row>
    <row r="767" spans="1:6" x14ac:dyDescent="0.75">
      <c r="A767">
        <v>2024</v>
      </c>
      <c r="B767" t="s">
        <v>56</v>
      </c>
      <c r="C767" t="s">
        <v>46</v>
      </c>
      <c r="D767" s="1">
        <v>4003</v>
      </c>
      <c r="E767" s="1">
        <v>24569</v>
      </c>
      <c r="F767" s="2">
        <v>54528</v>
      </c>
    </row>
    <row r="768" spans="1:6" x14ac:dyDescent="0.75">
      <c r="A768">
        <v>2024</v>
      </c>
      <c r="B768" t="s">
        <v>56</v>
      </c>
      <c r="C768" t="s">
        <v>47</v>
      </c>
      <c r="D768" s="1">
        <v>14066</v>
      </c>
      <c r="E768" s="1">
        <v>150327</v>
      </c>
      <c r="F768" s="2">
        <v>74040</v>
      </c>
    </row>
    <row r="769" spans="1:6" x14ac:dyDescent="0.75">
      <c r="A769">
        <v>2024</v>
      </c>
      <c r="B769" t="s">
        <v>56</v>
      </c>
      <c r="C769" t="s">
        <v>48</v>
      </c>
      <c r="D769" s="1">
        <v>2306</v>
      </c>
      <c r="E769" s="1">
        <v>11180</v>
      </c>
      <c r="F769" s="2">
        <v>60849</v>
      </c>
    </row>
    <row r="770" spans="1:6" x14ac:dyDescent="0.75">
      <c r="A770">
        <v>2024</v>
      </c>
      <c r="B770" t="s">
        <v>57</v>
      </c>
      <c r="C770" t="s">
        <v>1</v>
      </c>
      <c r="D770" s="1">
        <v>22186</v>
      </c>
      <c r="E770" s="1">
        <v>251073</v>
      </c>
      <c r="F770" s="2">
        <v>57061</v>
      </c>
    </row>
    <row r="771" spans="1:6" x14ac:dyDescent="0.75">
      <c r="A771">
        <v>2024</v>
      </c>
      <c r="B771" t="s">
        <v>57</v>
      </c>
      <c r="C771" t="s">
        <v>2</v>
      </c>
      <c r="D771" s="1">
        <v>38940</v>
      </c>
      <c r="E771" s="1">
        <v>445648</v>
      </c>
      <c r="F771" s="2">
        <v>58892</v>
      </c>
    </row>
    <row r="772" spans="1:6" x14ac:dyDescent="0.75">
      <c r="A772">
        <v>2024</v>
      </c>
      <c r="B772" t="s">
        <v>57</v>
      </c>
      <c r="C772" t="s">
        <v>3</v>
      </c>
      <c r="D772" s="1">
        <v>14911</v>
      </c>
      <c r="E772" s="1">
        <v>145841</v>
      </c>
      <c r="F772" s="2">
        <v>63354</v>
      </c>
    </row>
    <row r="773" spans="1:6" x14ac:dyDescent="0.75">
      <c r="A773">
        <v>2024</v>
      </c>
      <c r="B773" t="s">
        <v>57</v>
      </c>
      <c r="C773" t="s">
        <v>4</v>
      </c>
      <c r="D773" s="1">
        <v>215691</v>
      </c>
      <c r="E773" s="1">
        <v>2723437</v>
      </c>
      <c r="F773" s="2">
        <v>95348</v>
      </c>
    </row>
    <row r="774" spans="1:6" x14ac:dyDescent="0.75">
      <c r="A774">
        <v>2024</v>
      </c>
      <c r="B774" t="s">
        <v>57</v>
      </c>
      <c r="C774" t="s">
        <v>5</v>
      </c>
      <c r="D774" s="1">
        <v>55003</v>
      </c>
      <c r="E774" s="1">
        <v>439613</v>
      </c>
      <c r="F774" s="2">
        <v>86477</v>
      </c>
    </row>
    <row r="775" spans="1:6" x14ac:dyDescent="0.75">
      <c r="A775">
        <v>2024</v>
      </c>
      <c r="B775" t="s">
        <v>57</v>
      </c>
      <c r="C775" t="s">
        <v>6</v>
      </c>
      <c r="D775" s="1">
        <v>23755</v>
      </c>
      <c r="E775" s="1">
        <v>218815</v>
      </c>
      <c r="F775" s="2">
        <v>92139</v>
      </c>
    </row>
    <row r="776" spans="1:6" x14ac:dyDescent="0.75">
      <c r="A776">
        <v>2024</v>
      </c>
      <c r="B776" t="s">
        <v>57</v>
      </c>
      <c r="C776" t="s">
        <v>7</v>
      </c>
      <c r="D776" s="1">
        <v>9421</v>
      </c>
      <c r="E776" s="1">
        <v>63844</v>
      </c>
      <c r="F776" s="2">
        <v>82658</v>
      </c>
    </row>
    <row r="777" spans="1:6" x14ac:dyDescent="0.75">
      <c r="A777">
        <v>2024</v>
      </c>
      <c r="B777" t="s">
        <v>57</v>
      </c>
      <c r="C777" t="s">
        <v>8</v>
      </c>
      <c r="D777" s="1">
        <v>170397</v>
      </c>
      <c r="E777" s="1">
        <v>1391050</v>
      </c>
      <c r="F777" s="2">
        <v>63740</v>
      </c>
    </row>
    <row r="778" spans="1:6" x14ac:dyDescent="0.75">
      <c r="A778">
        <v>2024</v>
      </c>
      <c r="B778" t="s">
        <v>57</v>
      </c>
      <c r="C778" t="s">
        <v>9</v>
      </c>
      <c r="D778" s="1">
        <v>56304</v>
      </c>
      <c r="E778" s="1">
        <v>717238</v>
      </c>
      <c r="F778" s="2">
        <v>71861</v>
      </c>
    </row>
    <row r="779" spans="1:6" x14ac:dyDescent="0.75">
      <c r="A779">
        <v>2024</v>
      </c>
      <c r="B779" t="s">
        <v>57</v>
      </c>
      <c r="C779" t="s">
        <v>10</v>
      </c>
      <c r="D779" s="1">
        <v>11359</v>
      </c>
      <c r="E779" s="1">
        <v>94181</v>
      </c>
      <c r="F779" s="2">
        <v>55072</v>
      </c>
    </row>
    <row r="780" spans="1:6" x14ac:dyDescent="0.75">
      <c r="A780">
        <v>2024</v>
      </c>
      <c r="B780" t="s">
        <v>57</v>
      </c>
      <c r="C780" t="s">
        <v>11</v>
      </c>
      <c r="D780" s="1">
        <v>75870</v>
      </c>
      <c r="E780" s="1">
        <v>948055</v>
      </c>
      <c r="F780" s="2">
        <v>78228</v>
      </c>
    </row>
    <row r="781" spans="1:6" x14ac:dyDescent="0.75">
      <c r="A781">
        <v>2024</v>
      </c>
      <c r="B781" t="s">
        <v>57</v>
      </c>
      <c r="C781" t="s">
        <v>12</v>
      </c>
      <c r="D781" s="1">
        <v>30165</v>
      </c>
      <c r="E781" s="1">
        <v>346667</v>
      </c>
      <c r="F781" s="2">
        <v>53817</v>
      </c>
    </row>
    <row r="782" spans="1:6" x14ac:dyDescent="0.75">
      <c r="A782">
        <v>2024</v>
      </c>
      <c r="B782" t="s">
        <v>57</v>
      </c>
      <c r="C782" t="s">
        <v>13</v>
      </c>
      <c r="D782" s="1">
        <v>16421</v>
      </c>
      <c r="E782" s="1">
        <v>139337</v>
      </c>
      <c r="F782" s="2">
        <v>56755</v>
      </c>
    </row>
    <row r="783" spans="1:6" x14ac:dyDescent="0.75">
      <c r="A783">
        <v>2024</v>
      </c>
      <c r="B783" t="s">
        <v>57</v>
      </c>
      <c r="C783" t="s">
        <v>14</v>
      </c>
      <c r="D783" s="1">
        <v>16598</v>
      </c>
      <c r="E783" s="1">
        <v>179211</v>
      </c>
      <c r="F783" s="2">
        <v>64554</v>
      </c>
    </row>
    <row r="784" spans="1:6" x14ac:dyDescent="0.75">
      <c r="A784">
        <v>2024</v>
      </c>
      <c r="B784" t="s">
        <v>57</v>
      </c>
      <c r="C784" t="s">
        <v>15</v>
      </c>
      <c r="D784" s="1">
        <v>20866</v>
      </c>
      <c r="E784" s="1">
        <v>216049</v>
      </c>
      <c r="F784" s="2">
        <v>52511</v>
      </c>
    </row>
    <row r="785" spans="1:6" x14ac:dyDescent="0.75">
      <c r="A785">
        <v>2024</v>
      </c>
      <c r="B785" t="s">
        <v>57</v>
      </c>
      <c r="C785" t="s">
        <v>16</v>
      </c>
      <c r="D785" s="1">
        <v>25304</v>
      </c>
      <c r="E785" s="1">
        <v>216009</v>
      </c>
      <c r="F785" s="2">
        <v>57624</v>
      </c>
    </row>
    <row r="786" spans="1:6" x14ac:dyDescent="0.75">
      <c r="A786">
        <v>2024</v>
      </c>
      <c r="B786" t="s">
        <v>57</v>
      </c>
      <c r="C786" t="s">
        <v>17</v>
      </c>
      <c r="D786" s="1">
        <v>10504</v>
      </c>
      <c r="E786" s="1">
        <v>69931</v>
      </c>
      <c r="F786" s="2">
        <v>60893</v>
      </c>
    </row>
    <row r="787" spans="1:6" x14ac:dyDescent="0.75">
      <c r="A787">
        <v>2024</v>
      </c>
      <c r="B787" t="s">
        <v>57</v>
      </c>
      <c r="C787" t="s">
        <v>18</v>
      </c>
      <c r="D787" s="1">
        <v>44172</v>
      </c>
      <c r="E787" s="1">
        <v>461724</v>
      </c>
      <c r="F787" s="2">
        <v>82573</v>
      </c>
    </row>
    <row r="788" spans="1:6" x14ac:dyDescent="0.75">
      <c r="A788">
        <v>2024</v>
      </c>
      <c r="B788" t="s">
        <v>57</v>
      </c>
      <c r="C788" t="s">
        <v>19</v>
      </c>
      <c r="D788" s="1">
        <v>47892</v>
      </c>
      <c r="E788" s="1">
        <v>605822</v>
      </c>
      <c r="F788" s="2">
        <v>113872</v>
      </c>
    </row>
    <row r="789" spans="1:6" x14ac:dyDescent="0.75">
      <c r="A789">
        <v>2024</v>
      </c>
      <c r="B789" t="s">
        <v>57</v>
      </c>
      <c r="C789" t="s">
        <v>20</v>
      </c>
      <c r="D789" s="1">
        <v>44483</v>
      </c>
      <c r="E789" s="1">
        <v>655188</v>
      </c>
      <c r="F789" s="2">
        <v>70805</v>
      </c>
    </row>
    <row r="790" spans="1:6" x14ac:dyDescent="0.75">
      <c r="A790">
        <v>2024</v>
      </c>
      <c r="B790" t="s">
        <v>57</v>
      </c>
      <c r="C790" t="s">
        <v>21</v>
      </c>
      <c r="D790" s="1">
        <v>32903</v>
      </c>
      <c r="E790" s="1">
        <v>383591</v>
      </c>
      <c r="F790" s="2">
        <v>85736</v>
      </c>
    </row>
    <row r="791" spans="1:6" x14ac:dyDescent="0.75">
      <c r="A791">
        <v>2024</v>
      </c>
      <c r="B791" t="s">
        <v>57</v>
      </c>
      <c r="C791" t="s">
        <v>22</v>
      </c>
      <c r="D791" s="1">
        <v>12421</v>
      </c>
      <c r="E791" s="1">
        <v>108490</v>
      </c>
      <c r="F791" s="2">
        <v>43023</v>
      </c>
    </row>
    <row r="792" spans="1:6" x14ac:dyDescent="0.75">
      <c r="A792">
        <v>2024</v>
      </c>
      <c r="B792" t="s">
        <v>57</v>
      </c>
      <c r="C792" t="s">
        <v>23</v>
      </c>
      <c r="D792" s="1">
        <v>34349</v>
      </c>
      <c r="E792" s="1">
        <v>382484</v>
      </c>
      <c r="F792" s="2">
        <v>68700</v>
      </c>
    </row>
    <row r="793" spans="1:6" x14ac:dyDescent="0.75">
      <c r="A793">
        <v>2024</v>
      </c>
      <c r="B793" t="s">
        <v>57</v>
      </c>
      <c r="C793" t="s">
        <v>24</v>
      </c>
      <c r="D793" s="1">
        <v>9482</v>
      </c>
      <c r="E793" s="1">
        <v>43417</v>
      </c>
      <c r="F793" s="2">
        <v>54553</v>
      </c>
    </row>
    <row r="794" spans="1:6" x14ac:dyDescent="0.75">
      <c r="A794">
        <v>2024</v>
      </c>
      <c r="B794" t="s">
        <v>57</v>
      </c>
      <c r="C794" t="s">
        <v>25</v>
      </c>
      <c r="D794" s="1">
        <v>11737</v>
      </c>
      <c r="E794" s="1">
        <v>120560</v>
      </c>
      <c r="F794" s="2">
        <v>60603</v>
      </c>
    </row>
    <row r="795" spans="1:6" x14ac:dyDescent="0.75">
      <c r="A795">
        <v>2024</v>
      </c>
      <c r="B795" t="s">
        <v>57</v>
      </c>
      <c r="C795" t="s">
        <v>26</v>
      </c>
      <c r="D795" s="1">
        <v>20106</v>
      </c>
      <c r="E795" s="1">
        <v>196204</v>
      </c>
      <c r="F795" s="2">
        <v>62008</v>
      </c>
    </row>
    <row r="796" spans="1:6" x14ac:dyDescent="0.75">
      <c r="A796">
        <v>2024</v>
      </c>
      <c r="B796" t="s">
        <v>57</v>
      </c>
      <c r="C796" t="s">
        <v>27</v>
      </c>
      <c r="D796" s="1">
        <v>12808</v>
      </c>
      <c r="E796" s="1">
        <v>83513</v>
      </c>
      <c r="F796" s="2">
        <v>80647</v>
      </c>
    </row>
    <row r="797" spans="1:6" x14ac:dyDescent="0.75">
      <c r="A797">
        <v>2024</v>
      </c>
      <c r="B797" t="s">
        <v>57</v>
      </c>
      <c r="C797" t="s">
        <v>28</v>
      </c>
      <c r="D797" s="1">
        <v>52040</v>
      </c>
      <c r="E797" s="1">
        <v>677810</v>
      </c>
      <c r="F797" s="2">
        <v>94022</v>
      </c>
    </row>
    <row r="798" spans="1:6" x14ac:dyDescent="0.75">
      <c r="A798">
        <v>2024</v>
      </c>
      <c r="B798" t="s">
        <v>57</v>
      </c>
      <c r="C798" t="s">
        <v>29</v>
      </c>
      <c r="D798" s="1">
        <v>11347</v>
      </c>
      <c r="E798" s="1">
        <v>111478</v>
      </c>
      <c r="F798" s="2">
        <v>64156</v>
      </c>
    </row>
    <row r="799" spans="1:6" x14ac:dyDescent="0.75">
      <c r="A799">
        <v>2024</v>
      </c>
      <c r="B799" t="s">
        <v>57</v>
      </c>
      <c r="C799" t="s">
        <v>30</v>
      </c>
      <c r="D799" s="1">
        <v>112890</v>
      </c>
      <c r="E799" s="1">
        <v>1368950</v>
      </c>
      <c r="F799" s="2">
        <v>99615</v>
      </c>
    </row>
    <row r="800" spans="1:6" x14ac:dyDescent="0.75">
      <c r="A800">
        <v>2024</v>
      </c>
      <c r="B800" t="s">
        <v>57</v>
      </c>
      <c r="C800" t="s">
        <v>31</v>
      </c>
      <c r="D800" s="1">
        <v>61321</v>
      </c>
      <c r="E800" s="1">
        <v>649747</v>
      </c>
      <c r="F800" s="2">
        <v>67705</v>
      </c>
    </row>
    <row r="801" spans="1:6" x14ac:dyDescent="0.75">
      <c r="A801">
        <v>2024</v>
      </c>
      <c r="B801" t="s">
        <v>57</v>
      </c>
      <c r="C801" t="s">
        <v>32</v>
      </c>
      <c r="D801" s="1">
        <v>5198</v>
      </c>
      <c r="E801" s="1">
        <v>32856</v>
      </c>
      <c r="F801" s="2">
        <v>63897</v>
      </c>
    </row>
    <row r="802" spans="1:6" x14ac:dyDescent="0.75">
      <c r="A802">
        <v>2024</v>
      </c>
      <c r="B802" t="s">
        <v>57</v>
      </c>
      <c r="C802" t="s">
        <v>33</v>
      </c>
      <c r="D802" s="1">
        <v>54330</v>
      </c>
      <c r="E802" s="1">
        <v>734963</v>
      </c>
      <c r="F802" s="2">
        <v>66752</v>
      </c>
    </row>
    <row r="803" spans="1:6" x14ac:dyDescent="0.75">
      <c r="A803">
        <v>2024</v>
      </c>
      <c r="B803" t="s">
        <v>57</v>
      </c>
      <c r="C803" t="s">
        <v>34</v>
      </c>
      <c r="D803" s="1">
        <v>21148</v>
      </c>
      <c r="E803" s="1">
        <v>194601</v>
      </c>
      <c r="F803" s="2">
        <v>54841</v>
      </c>
    </row>
    <row r="804" spans="1:6" x14ac:dyDescent="0.75">
      <c r="A804">
        <v>2024</v>
      </c>
      <c r="B804" t="s">
        <v>57</v>
      </c>
      <c r="C804" t="s">
        <v>35</v>
      </c>
      <c r="D804" s="1">
        <v>26161</v>
      </c>
      <c r="E804" s="1">
        <v>253667</v>
      </c>
      <c r="F804" s="2">
        <v>73460</v>
      </c>
    </row>
    <row r="805" spans="1:6" x14ac:dyDescent="0.75">
      <c r="A805">
        <v>2024</v>
      </c>
      <c r="B805" t="s">
        <v>57</v>
      </c>
      <c r="C805" t="s">
        <v>36</v>
      </c>
      <c r="D805" s="1">
        <v>64541</v>
      </c>
      <c r="E805" s="1">
        <v>816358</v>
      </c>
      <c r="F805" s="2">
        <v>81681</v>
      </c>
    </row>
    <row r="806" spans="1:6" x14ac:dyDescent="0.75">
      <c r="A806">
        <v>2024</v>
      </c>
      <c r="B806" t="s">
        <v>57</v>
      </c>
      <c r="C806" t="s">
        <v>37</v>
      </c>
      <c r="D806" s="1">
        <v>9043</v>
      </c>
      <c r="E806" s="1">
        <v>68259</v>
      </c>
      <c r="F806" s="2">
        <v>68454</v>
      </c>
    </row>
    <row r="807" spans="1:6" x14ac:dyDescent="0.75">
      <c r="A807">
        <v>2024</v>
      </c>
      <c r="B807" t="s">
        <v>57</v>
      </c>
      <c r="C807" t="s">
        <v>38</v>
      </c>
      <c r="D807" s="1">
        <v>29329</v>
      </c>
      <c r="E807" s="1">
        <v>298404</v>
      </c>
      <c r="F807" s="2">
        <v>52492</v>
      </c>
    </row>
    <row r="808" spans="1:6" x14ac:dyDescent="0.75">
      <c r="A808">
        <v>2024</v>
      </c>
      <c r="B808" t="s">
        <v>57</v>
      </c>
      <c r="C808" t="s">
        <v>39</v>
      </c>
      <c r="D808" s="1">
        <v>5498</v>
      </c>
      <c r="E808" s="1">
        <v>33117</v>
      </c>
      <c r="F808" s="2">
        <v>58619</v>
      </c>
    </row>
    <row r="809" spans="1:6" x14ac:dyDescent="0.75">
      <c r="A809">
        <v>2024</v>
      </c>
      <c r="B809" t="s">
        <v>57</v>
      </c>
      <c r="C809" t="s">
        <v>40</v>
      </c>
      <c r="D809" s="1">
        <v>30774</v>
      </c>
      <c r="E809" s="1">
        <v>425933</v>
      </c>
      <c r="F809" s="2">
        <v>62990</v>
      </c>
    </row>
    <row r="810" spans="1:6" x14ac:dyDescent="0.75">
      <c r="A810">
        <v>2024</v>
      </c>
      <c r="B810" t="s">
        <v>57</v>
      </c>
      <c r="C810" t="s">
        <v>41</v>
      </c>
      <c r="D810" s="1">
        <v>139953</v>
      </c>
      <c r="E810" s="1">
        <v>1794316</v>
      </c>
      <c r="F810" s="2">
        <v>77197</v>
      </c>
    </row>
    <row r="811" spans="1:6" x14ac:dyDescent="0.75">
      <c r="A811">
        <v>2024</v>
      </c>
      <c r="B811" t="s">
        <v>57</v>
      </c>
      <c r="C811" t="s">
        <v>42</v>
      </c>
      <c r="D811" s="1">
        <v>24485</v>
      </c>
      <c r="E811" s="1">
        <v>221851</v>
      </c>
      <c r="F811" s="2">
        <v>64641</v>
      </c>
    </row>
    <row r="812" spans="1:6" x14ac:dyDescent="0.75">
      <c r="A812">
        <v>2024</v>
      </c>
      <c r="B812" t="s">
        <v>57</v>
      </c>
      <c r="C812" t="s">
        <v>43</v>
      </c>
      <c r="D812" s="1">
        <v>5970</v>
      </c>
      <c r="E812" s="1">
        <v>29394</v>
      </c>
      <c r="F812" s="2">
        <v>68986</v>
      </c>
    </row>
    <row r="813" spans="1:6" x14ac:dyDescent="0.75">
      <c r="A813">
        <v>2024</v>
      </c>
      <c r="B813" t="s">
        <v>57</v>
      </c>
      <c r="C813" t="s">
        <v>44</v>
      </c>
      <c r="D813" s="1">
        <v>59342</v>
      </c>
      <c r="E813" s="1">
        <v>762590</v>
      </c>
      <c r="F813" s="2">
        <v>90327</v>
      </c>
    </row>
    <row r="814" spans="1:6" x14ac:dyDescent="0.75">
      <c r="A814">
        <v>2024</v>
      </c>
      <c r="B814" t="s">
        <v>57</v>
      </c>
      <c r="C814" t="s">
        <v>45</v>
      </c>
      <c r="D814" s="1">
        <v>41249</v>
      </c>
      <c r="E814" s="1">
        <v>425615</v>
      </c>
      <c r="F814" s="2">
        <v>85460</v>
      </c>
    </row>
    <row r="815" spans="1:6" x14ac:dyDescent="0.75">
      <c r="A815">
        <v>2024</v>
      </c>
      <c r="B815" t="s">
        <v>57</v>
      </c>
      <c r="C815" t="s">
        <v>46</v>
      </c>
      <c r="D815" s="1">
        <v>8381</v>
      </c>
      <c r="E815" s="1">
        <v>69069</v>
      </c>
      <c r="F815" s="2">
        <v>52180</v>
      </c>
    </row>
    <row r="816" spans="1:6" x14ac:dyDescent="0.75">
      <c r="A816">
        <v>2024</v>
      </c>
      <c r="B816" t="s">
        <v>57</v>
      </c>
      <c r="C816" t="s">
        <v>47</v>
      </c>
      <c r="D816" s="1">
        <v>26927</v>
      </c>
      <c r="E816" s="1">
        <v>326120</v>
      </c>
      <c r="F816" s="2">
        <v>63192</v>
      </c>
    </row>
    <row r="817" spans="1:6" x14ac:dyDescent="0.75">
      <c r="A817">
        <v>2024</v>
      </c>
      <c r="B817" t="s">
        <v>57</v>
      </c>
      <c r="C817" t="s">
        <v>48</v>
      </c>
      <c r="D817" s="1">
        <v>4728</v>
      </c>
      <c r="E817" s="1">
        <v>19196</v>
      </c>
      <c r="F817" s="2">
        <v>56253</v>
      </c>
    </row>
    <row r="818" spans="1:6" x14ac:dyDescent="0.75">
      <c r="A818">
        <v>2024</v>
      </c>
      <c r="B818" t="s">
        <v>58</v>
      </c>
      <c r="C818" t="s">
        <v>1</v>
      </c>
      <c r="D818" s="1">
        <v>13692</v>
      </c>
      <c r="E818" s="1">
        <v>238078</v>
      </c>
      <c r="F818" s="2">
        <v>47785</v>
      </c>
    </row>
    <row r="819" spans="1:6" x14ac:dyDescent="0.75">
      <c r="A819">
        <v>2024</v>
      </c>
      <c r="B819" t="s">
        <v>58</v>
      </c>
      <c r="C819" t="s">
        <v>2</v>
      </c>
      <c r="D819" s="1">
        <v>19924</v>
      </c>
      <c r="E819" s="1">
        <v>457984</v>
      </c>
      <c r="F819" s="2">
        <v>52632</v>
      </c>
    </row>
    <row r="820" spans="1:6" x14ac:dyDescent="0.75">
      <c r="A820">
        <v>2024</v>
      </c>
      <c r="B820" t="s">
        <v>58</v>
      </c>
      <c r="C820" t="s">
        <v>3</v>
      </c>
      <c r="D820" s="1">
        <v>15780</v>
      </c>
      <c r="E820" s="1">
        <v>187607</v>
      </c>
      <c r="F820" s="2">
        <v>43983</v>
      </c>
    </row>
    <row r="821" spans="1:6" x14ac:dyDescent="0.75">
      <c r="A821">
        <v>2024</v>
      </c>
      <c r="B821" t="s">
        <v>58</v>
      </c>
      <c r="C821" t="s">
        <v>4</v>
      </c>
      <c r="D821" s="1">
        <v>639529</v>
      </c>
      <c r="E821" s="1">
        <v>2734574</v>
      </c>
      <c r="F821" s="2">
        <v>53909</v>
      </c>
    </row>
    <row r="822" spans="1:6" x14ac:dyDescent="0.75">
      <c r="A822">
        <v>2024</v>
      </c>
      <c r="B822" t="s">
        <v>58</v>
      </c>
      <c r="C822" t="s">
        <v>5</v>
      </c>
      <c r="D822" s="1">
        <v>21747</v>
      </c>
      <c r="E822" s="1">
        <v>341496</v>
      </c>
      <c r="F822" s="2">
        <v>51600</v>
      </c>
    </row>
    <row r="823" spans="1:6" x14ac:dyDescent="0.75">
      <c r="A823">
        <v>2024</v>
      </c>
      <c r="B823" t="s">
        <v>58</v>
      </c>
      <c r="C823" t="s">
        <v>6</v>
      </c>
      <c r="D823" s="1">
        <v>13478</v>
      </c>
      <c r="E823" s="1">
        <v>330418</v>
      </c>
      <c r="F823" s="2">
        <v>57419</v>
      </c>
    </row>
    <row r="824" spans="1:6" x14ac:dyDescent="0.75">
      <c r="A824">
        <v>2024</v>
      </c>
      <c r="B824" t="s">
        <v>58</v>
      </c>
      <c r="C824" t="s">
        <v>7</v>
      </c>
      <c r="D824" s="1">
        <v>5386</v>
      </c>
      <c r="E824" s="1">
        <v>76932</v>
      </c>
      <c r="F824" s="2">
        <v>55284</v>
      </c>
    </row>
    <row r="825" spans="1:6" x14ac:dyDescent="0.75">
      <c r="A825">
        <v>2024</v>
      </c>
      <c r="B825" t="s">
        <v>58</v>
      </c>
      <c r="C825" t="s">
        <v>8</v>
      </c>
      <c r="D825" s="1">
        <v>76615</v>
      </c>
      <c r="E825" s="1">
        <v>1324281</v>
      </c>
      <c r="F825" s="2">
        <v>52039</v>
      </c>
    </row>
    <row r="826" spans="1:6" x14ac:dyDescent="0.75">
      <c r="A826">
        <v>2024</v>
      </c>
      <c r="B826" t="s">
        <v>58</v>
      </c>
      <c r="C826" t="s">
        <v>9</v>
      </c>
      <c r="D826" s="1">
        <v>29998</v>
      </c>
      <c r="E826" s="1">
        <v>580134</v>
      </c>
      <c r="F826" s="2">
        <v>53810</v>
      </c>
    </row>
    <row r="827" spans="1:6" x14ac:dyDescent="0.75">
      <c r="A827">
        <v>2024</v>
      </c>
      <c r="B827" t="s">
        <v>58</v>
      </c>
      <c r="C827" t="s">
        <v>10</v>
      </c>
      <c r="D827" s="1">
        <v>8163</v>
      </c>
      <c r="E827" s="1">
        <v>105424</v>
      </c>
      <c r="F827" s="2">
        <v>43475</v>
      </c>
    </row>
    <row r="828" spans="1:6" x14ac:dyDescent="0.75">
      <c r="A828">
        <v>2024</v>
      </c>
      <c r="B828" t="s">
        <v>58</v>
      </c>
      <c r="C828" t="s">
        <v>11</v>
      </c>
      <c r="D828" s="1">
        <v>35102</v>
      </c>
      <c r="E828" s="1">
        <v>924699</v>
      </c>
      <c r="F828" s="2">
        <v>52038</v>
      </c>
    </row>
    <row r="829" spans="1:6" x14ac:dyDescent="0.75">
      <c r="A829">
        <v>2024</v>
      </c>
      <c r="B829" t="s">
        <v>58</v>
      </c>
      <c r="C829" t="s">
        <v>12</v>
      </c>
      <c r="D829" s="1">
        <v>16247</v>
      </c>
      <c r="E829" s="1">
        <v>468491</v>
      </c>
      <c r="F829" s="2">
        <v>49107</v>
      </c>
    </row>
    <row r="830" spans="1:6" x14ac:dyDescent="0.75">
      <c r="A830">
        <v>2024</v>
      </c>
      <c r="B830" t="s">
        <v>58</v>
      </c>
      <c r="C830" t="s">
        <v>13</v>
      </c>
      <c r="D830" s="1">
        <v>11966</v>
      </c>
      <c r="E830" s="1">
        <v>219013</v>
      </c>
      <c r="F830" s="2">
        <v>44392</v>
      </c>
    </row>
    <row r="831" spans="1:6" x14ac:dyDescent="0.75">
      <c r="A831">
        <v>2024</v>
      </c>
      <c r="B831" t="s">
        <v>58</v>
      </c>
      <c r="C831" t="s">
        <v>14</v>
      </c>
      <c r="D831" s="1">
        <v>10085</v>
      </c>
      <c r="E831" s="1">
        <v>197874</v>
      </c>
      <c r="F831" s="2">
        <v>43909</v>
      </c>
    </row>
    <row r="832" spans="1:6" x14ac:dyDescent="0.75">
      <c r="A832">
        <v>2024</v>
      </c>
      <c r="B832" t="s">
        <v>58</v>
      </c>
      <c r="C832" t="s">
        <v>15</v>
      </c>
      <c r="D832" s="1">
        <v>18442</v>
      </c>
      <c r="E832" s="1">
        <v>272579</v>
      </c>
      <c r="F832" s="2">
        <v>49141</v>
      </c>
    </row>
    <row r="833" spans="1:6" x14ac:dyDescent="0.75">
      <c r="A833">
        <v>2024</v>
      </c>
      <c r="B833" t="s">
        <v>58</v>
      </c>
      <c r="C833" t="s">
        <v>16</v>
      </c>
      <c r="D833" s="1">
        <v>16110</v>
      </c>
      <c r="E833" s="1">
        <v>305742</v>
      </c>
      <c r="F833" s="2">
        <v>44832</v>
      </c>
    </row>
    <row r="834" spans="1:6" x14ac:dyDescent="0.75">
      <c r="A834">
        <v>2024</v>
      </c>
      <c r="B834" t="s">
        <v>58</v>
      </c>
      <c r="C834" t="s">
        <v>17</v>
      </c>
      <c r="D834" s="1">
        <v>5474</v>
      </c>
      <c r="E834" s="1">
        <v>120085</v>
      </c>
      <c r="F834" s="2">
        <v>49342</v>
      </c>
    </row>
    <row r="835" spans="1:6" x14ac:dyDescent="0.75">
      <c r="A835">
        <v>2024</v>
      </c>
      <c r="B835" t="s">
        <v>58</v>
      </c>
      <c r="C835" t="s">
        <v>18</v>
      </c>
      <c r="D835" s="1">
        <v>21419</v>
      </c>
      <c r="E835" s="1">
        <v>451332</v>
      </c>
      <c r="F835" s="2">
        <v>55476</v>
      </c>
    </row>
    <row r="836" spans="1:6" x14ac:dyDescent="0.75">
      <c r="A836">
        <v>2024</v>
      </c>
      <c r="B836" t="s">
        <v>58</v>
      </c>
      <c r="C836" t="s">
        <v>19</v>
      </c>
      <c r="D836" s="1">
        <v>68761</v>
      </c>
      <c r="E836" s="1">
        <v>790552</v>
      </c>
      <c r="F836" s="2">
        <v>59886</v>
      </c>
    </row>
    <row r="837" spans="1:6" x14ac:dyDescent="0.75">
      <c r="A837">
        <v>2024</v>
      </c>
      <c r="B837" t="s">
        <v>58</v>
      </c>
      <c r="C837" t="s">
        <v>20</v>
      </c>
      <c r="D837" s="1">
        <v>25357</v>
      </c>
      <c r="E837" s="1">
        <v>661203</v>
      </c>
      <c r="F837" s="2">
        <v>50845</v>
      </c>
    </row>
    <row r="838" spans="1:6" x14ac:dyDescent="0.75">
      <c r="A838">
        <v>2024</v>
      </c>
      <c r="B838" t="s">
        <v>58</v>
      </c>
      <c r="C838" t="s">
        <v>21</v>
      </c>
      <c r="D838" s="1">
        <v>20728</v>
      </c>
      <c r="E838" s="1">
        <v>530749</v>
      </c>
      <c r="F838" s="2">
        <v>52656</v>
      </c>
    </row>
    <row r="839" spans="1:6" x14ac:dyDescent="0.75">
      <c r="A839">
        <v>2024</v>
      </c>
      <c r="B839" t="s">
        <v>58</v>
      </c>
      <c r="C839" t="s">
        <v>22</v>
      </c>
      <c r="D839" s="1">
        <v>7557</v>
      </c>
      <c r="E839" s="1">
        <v>146077</v>
      </c>
      <c r="F839" s="2">
        <v>42620</v>
      </c>
    </row>
    <row r="840" spans="1:6" x14ac:dyDescent="0.75">
      <c r="A840">
        <v>2024</v>
      </c>
      <c r="B840" t="s">
        <v>58</v>
      </c>
      <c r="C840" t="s">
        <v>23</v>
      </c>
      <c r="D840" s="1">
        <v>52078</v>
      </c>
      <c r="E840" s="1">
        <v>462462</v>
      </c>
      <c r="F840" s="2">
        <v>47562</v>
      </c>
    </row>
    <row r="841" spans="1:6" x14ac:dyDescent="0.75">
      <c r="A841">
        <v>2024</v>
      </c>
      <c r="B841" t="s">
        <v>58</v>
      </c>
      <c r="C841" t="s">
        <v>24</v>
      </c>
      <c r="D841" s="1">
        <v>4834</v>
      </c>
      <c r="E841" s="1">
        <v>74646</v>
      </c>
      <c r="F841" s="2">
        <v>49258</v>
      </c>
    </row>
    <row r="842" spans="1:6" x14ac:dyDescent="0.75">
      <c r="A842">
        <v>2024</v>
      </c>
      <c r="B842" t="s">
        <v>58</v>
      </c>
      <c r="C842" t="s">
        <v>25</v>
      </c>
      <c r="D842" s="1">
        <v>11559</v>
      </c>
      <c r="E842" s="1">
        <v>139275</v>
      </c>
      <c r="F842" s="2">
        <v>48735</v>
      </c>
    </row>
    <row r="843" spans="1:6" x14ac:dyDescent="0.75">
      <c r="A843">
        <v>2024</v>
      </c>
      <c r="B843" t="s">
        <v>58</v>
      </c>
      <c r="C843" t="s">
        <v>26</v>
      </c>
      <c r="D843" s="1">
        <v>8934</v>
      </c>
      <c r="E843" s="1">
        <v>143417</v>
      </c>
      <c r="F843" s="2">
        <v>54808</v>
      </c>
    </row>
    <row r="844" spans="1:6" x14ac:dyDescent="0.75">
      <c r="A844">
        <v>2024</v>
      </c>
      <c r="B844" t="s">
        <v>58</v>
      </c>
      <c r="C844" t="s">
        <v>27</v>
      </c>
      <c r="D844" s="1">
        <v>4773</v>
      </c>
      <c r="E844" s="1">
        <v>114430</v>
      </c>
      <c r="F844" s="2">
        <v>58363</v>
      </c>
    </row>
    <row r="845" spans="1:6" x14ac:dyDescent="0.75">
      <c r="A845">
        <v>2024</v>
      </c>
      <c r="B845" t="s">
        <v>58</v>
      </c>
      <c r="C845" t="s">
        <v>28</v>
      </c>
      <c r="D845" s="1">
        <v>40687</v>
      </c>
      <c r="E845" s="1">
        <v>670070</v>
      </c>
      <c r="F845" s="2">
        <v>55124</v>
      </c>
    </row>
    <row r="846" spans="1:6" x14ac:dyDescent="0.75">
      <c r="A846">
        <v>2024</v>
      </c>
      <c r="B846" t="s">
        <v>58</v>
      </c>
      <c r="C846" t="s">
        <v>29</v>
      </c>
      <c r="D846" s="1">
        <v>10974</v>
      </c>
      <c r="E846" s="1">
        <v>130181</v>
      </c>
      <c r="F846" s="2">
        <v>42852</v>
      </c>
    </row>
    <row r="847" spans="1:6" x14ac:dyDescent="0.75">
      <c r="A847">
        <v>2024</v>
      </c>
      <c r="B847" t="s">
        <v>58</v>
      </c>
      <c r="C847" t="s">
        <v>30</v>
      </c>
      <c r="D847" s="1">
        <v>67202</v>
      </c>
      <c r="E847" s="1">
        <v>1981493</v>
      </c>
      <c r="F847" s="2">
        <v>54638</v>
      </c>
    </row>
    <row r="848" spans="1:6" x14ac:dyDescent="0.75">
      <c r="A848">
        <v>2024</v>
      </c>
      <c r="B848" t="s">
        <v>58</v>
      </c>
      <c r="C848" t="s">
        <v>31</v>
      </c>
      <c r="D848" s="1">
        <v>28199</v>
      </c>
      <c r="E848" s="1">
        <v>606564</v>
      </c>
      <c r="F848" s="2">
        <v>50123</v>
      </c>
    </row>
    <row r="849" spans="1:6" x14ac:dyDescent="0.75">
      <c r="A849">
        <v>2024</v>
      </c>
      <c r="B849" t="s">
        <v>58</v>
      </c>
      <c r="C849" t="s">
        <v>32</v>
      </c>
      <c r="D849" s="1">
        <v>2581</v>
      </c>
      <c r="E849" s="1">
        <v>65771</v>
      </c>
      <c r="F849" s="2">
        <v>52585</v>
      </c>
    </row>
    <row r="850" spans="1:6" x14ac:dyDescent="0.75">
      <c r="A850">
        <v>2024</v>
      </c>
      <c r="B850" t="s">
        <v>58</v>
      </c>
      <c r="C850" t="s">
        <v>33</v>
      </c>
      <c r="D850" s="1">
        <v>35525</v>
      </c>
      <c r="E850" s="1">
        <v>908891</v>
      </c>
      <c r="F850" s="2">
        <v>47891</v>
      </c>
    </row>
    <row r="851" spans="1:6" x14ac:dyDescent="0.75">
      <c r="A851">
        <v>2024</v>
      </c>
      <c r="B851" t="s">
        <v>58</v>
      </c>
      <c r="C851" t="s">
        <v>34</v>
      </c>
      <c r="D851" s="1">
        <v>13345</v>
      </c>
      <c r="E851" s="1">
        <v>213244</v>
      </c>
      <c r="F851" s="2">
        <v>46841</v>
      </c>
    </row>
    <row r="852" spans="1:6" x14ac:dyDescent="0.75">
      <c r="A852">
        <v>2024</v>
      </c>
      <c r="B852" t="s">
        <v>58</v>
      </c>
      <c r="C852" t="s">
        <v>35</v>
      </c>
      <c r="D852" s="1">
        <v>16113</v>
      </c>
      <c r="E852" s="1">
        <v>295311</v>
      </c>
      <c r="F852" s="2">
        <v>51842</v>
      </c>
    </row>
    <row r="853" spans="1:6" x14ac:dyDescent="0.75">
      <c r="A853">
        <v>2024</v>
      </c>
      <c r="B853" t="s">
        <v>58</v>
      </c>
      <c r="C853" t="s">
        <v>36</v>
      </c>
      <c r="D853" s="1">
        <v>57945</v>
      </c>
      <c r="E853" s="1">
        <v>1230922</v>
      </c>
      <c r="F853" s="2">
        <v>53416</v>
      </c>
    </row>
    <row r="854" spans="1:6" x14ac:dyDescent="0.75">
      <c r="A854">
        <v>2024</v>
      </c>
      <c r="B854" t="s">
        <v>58</v>
      </c>
      <c r="C854" t="s">
        <v>37</v>
      </c>
      <c r="D854" s="1">
        <v>4664</v>
      </c>
      <c r="E854" s="1">
        <v>102395</v>
      </c>
      <c r="F854" s="2">
        <v>50458</v>
      </c>
    </row>
    <row r="855" spans="1:6" x14ac:dyDescent="0.75">
      <c r="A855">
        <v>2024</v>
      </c>
      <c r="B855" t="s">
        <v>58</v>
      </c>
      <c r="C855" t="s">
        <v>38</v>
      </c>
      <c r="D855" s="1">
        <v>12757</v>
      </c>
      <c r="E855" s="1">
        <v>237600</v>
      </c>
      <c r="F855" s="2">
        <v>47296</v>
      </c>
    </row>
    <row r="856" spans="1:6" x14ac:dyDescent="0.75">
      <c r="A856">
        <v>2024</v>
      </c>
      <c r="B856" t="s">
        <v>58</v>
      </c>
      <c r="C856" t="s">
        <v>39</v>
      </c>
      <c r="D856" s="1">
        <v>2904</v>
      </c>
      <c r="E856" s="1">
        <v>68913</v>
      </c>
      <c r="F856" s="2">
        <v>52412</v>
      </c>
    </row>
    <row r="857" spans="1:6" x14ac:dyDescent="0.75">
      <c r="A857">
        <v>2024</v>
      </c>
      <c r="B857" t="s">
        <v>58</v>
      </c>
      <c r="C857" t="s">
        <v>40</v>
      </c>
      <c r="D857" s="1">
        <v>16563</v>
      </c>
      <c r="E857" s="1">
        <v>427328</v>
      </c>
      <c r="F857" s="2">
        <v>53183</v>
      </c>
    </row>
    <row r="858" spans="1:6" x14ac:dyDescent="0.75">
      <c r="A858">
        <v>2024</v>
      </c>
      <c r="B858" t="s">
        <v>58</v>
      </c>
      <c r="C858" t="s">
        <v>41</v>
      </c>
      <c r="D858" s="1">
        <v>94237</v>
      </c>
      <c r="E858" s="1">
        <v>1684606</v>
      </c>
      <c r="F858" s="2">
        <v>49322</v>
      </c>
    </row>
    <row r="859" spans="1:6" x14ac:dyDescent="0.75">
      <c r="A859">
        <v>2024</v>
      </c>
      <c r="B859" t="s">
        <v>58</v>
      </c>
      <c r="C859" t="s">
        <v>42</v>
      </c>
      <c r="D859" s="1">
        <v>12857</v>
      </c>
      <c r="E859" s="1">
        <v>193373</v>
      </c>
      <c r="F859" s="2">
        <v>44983</v>
      </c>
    </row>
    <row r="860" spans="1:6" x14ac:dyDescent="0.75">
      <c r="A860">
        <v>2024</v>
      </c>
      <c r="B860" t="s">
        <v>58</v>
      </c>
      <c r="C860" t="s">
        <v>43</v>
      </c>
      <c r="D860" s="1">
        <v>2503</v>
      </c>
      <c r="E860" s="1">
        <v>62317</v>
      </c>
      <c r="F860" s="2">
        <v>48501</v>
      </c>
    </row>
    <row r="861" spans="1:6" x14ac:dyDescent="0.75">
      <c r="A861">
        <v>2024</v>
      </c>
      <c r="B861" t="s">
        <v>58</v>
      </c>
      <c r="C861" t="s">
        <v>44</v>
      </c>
      <c r="D861" s="1">
        <v>50144</v>
      </c>
      <c r="E861" s="1">
        <v>517645</v>
      </c>
      <c r="F861" s="2">
        <v>50876</v>
      </c>
    </row>
    <row r="862" spans="1:6" x14ac:dyDescent="0.75">
      <c r="A862">
        <v>2024</v>
      </c>
      <c r="B862" t="s">
        <v>58</v>
      </c>
      <c r="C862" t="s">
        <v>45</v>
      </c>
      <c r="D862" s="1">
        <v>64023</v>
      </c>
      <c r="E862" s="1">
        <v>478274</v>
      </c>
      <c r="F862" s="2">
        <v>53267</v>
      </c>
    </row>
    <row r="863" spans="1:6" x14ac:dyDescent="0.75">
      <c r="A863">
        <v>2024</v>
      </c>
      <c r="B863" t="s">
        <v>58</v>
      </c>
      <c r="C863" t="s">
        <v>46</v>
      </c>
      <c r="D863" s="1">
        <v>5755</v>
      </c>
      <c r="E863" s="1">
        <v>125528</v>
      </c>
      <c r="F863" s="2">
        <v>47876</v>
      </c>
    </row>
    <row r="864" spans="1:6" x14ac:dyDescent="0.75">
      <c r="A864">
        <v>2024</v>
      </c>
      <c r="B864" t="s">
        <v>58</v>
      </c>
      <c r="C864" t="s">
        <v>47</v>
      </c>
      <c r="D864" s="1">
        <v>29257</v>
      </c>
      <c r="E864" s="1">
        <v>440255</v>
      </c>
      <c r="F864" s="2">
        <v>50951</v>
      </c>
    </row>
    <row r="865" spans="1:6" x14ac:dyDescent="0.75">
      <c r="A865">
        <v>2024</v>
      </c>
      <c r="B865" t="s">
        <v>58</v>
      </c>
      <c r="C865" t="s">
        <v>48</v>
      </c>
      <c r="D865" s="1">
        <v>3384</v>
      </c>
      <c r="E865" s="1">
        <v>27323</v>
      </c>
      <c r="F865" s="2">
        <v>44083</v>
      </c>
    </row>
    <row r="866" spans="1:6" x14ac:dyDescent="0.75">
      <c r="A866">
        <v>2024</v>
      </c>
      <c r="B866" t="s">
        <v>59</v>
      </c>
      <c r="C866" t="s">
        <v>1</v>
      </c>
      <c r="D866" s="1">
        <v>11180</v>
      </c>
      <c r="E866" s="1">
        <v>208446</v>
      </c>
      <c r="F866" s="2">
        <v>17618</v>
      </c>
    </row>
    <row r="867" spans="1:6" x14ac:dyDescent="0.75">
      <c r="A867">
        <v>2024</v>
      </c>
      <c r="B867" t="s">
        <v>59</v>
      </c>
      <c r="C867" t="s">
        <v>2</v>
      </c>
      <c r="D867" s="1">
        <v>14256</v>
      </c>
      <c r="E867" s="1">
        <v>331295</v>
      </c>
      <c r="F867" s="2">
        <v>25557</v>
      </c>
    </row>
    <row r="868" spans="1:6" x14ac:dyDescent="0.75">
      <c r="A868">
        <v>2024</v>
      </c>
      <c r="B868" t="s">
        <v>59</v>
      </c>
      <c r="C868" t="s">
        <v>3</v>
      </c>
      <c r="D868" s="1">
        <v>7315</v>
      </c>
      <c r="E868" s="1">
        <v>120644</v>
      </c>
      <c r="F868" s="2">
        <v>17299</v>
      </c>
    </row>
    <row r="869" spans="1:6" x14ac:dyDescent="0.75">
      <c r="A869">
        <v>2024</v>
      </c>
      <c r="B869" t="s">
        <v>59</v>
      </c>
      <c r="C869" t="s">
        <v>4</v>
      </c>
      <c r="D869" s="1">
        <v>116191</v>
      </c>
      <c r="E869" s="1">
        <v>2034920</v>
      </c>
      <c r="F869" s="2">
        <v>32379</v>
      </c>
    </row>
    <row r="870" spans="1:6" x14ac:dyDescent="0.75">
      <c r="A870">
        <v>2024</v>
      </c>
      <c r="B870" t="s">
        <v>59</v>
      </c>
      <c r="C870" t="s">
        <v>5</v>
      </c>
      <c r="D870" s="1">
        <v>17317</v>
      </c>
      <c r="E870" s="1">
        <v>344935</v>
      </c>
      <c r="F870" s="2">
        <v>27131</v>
      </c>
    </row>
    <row r="871" spans="1:6" x14ac:dyDescent="0.75">
      <c r="A871">
        <v>2024</v>
      </c>
      <c r="B871" t="s">
        <v>59</v>
      </c>
      <c r="C871" t="s">
        <v>6</v>
      </c>
      <c r="D871" s="1">
        <v>10917</v>
      </c>
      <c r="E871" s="1">
        <v>157574</v>
      </c>
      <c r="F871" s="2">
        <v>24451</v>
      </c>
    </row>
    <row r="872" spans="1:6" x14ac:dyDescent="0.75">
      <c r="A872">
        <v>2024</v>
      </c>
      <c r="B872" t="s">
        <v>59</v>
      </c>
      <c r="C872" t="s">
        <v>7</v>
      </c>
      <c r="D872" s="1">
        <v>2710</v>
      </c>
      <c r="E872" s="1">
        <v>53038</v>
      </c>
      <c r="F872" s="2">
        <v>21264</v>
      </c>
    </row>
    <row r="873" spans="1:6" x14ac:dyDescent="0.75">
      <c r="A873">
        <v>2024</v>
      </c>
      <c r="B873" t="s">
        <v>59</v>
      </c>
      <c r="C873" t="s">
        <v>8</v>
      </c>
      <c r="D873" s="1">
        <v>58596</v>
      </c>
      <c r="E873" s="1">
        <v>1257201</v>
      </c>
      <c r="F873" s="2">
        <v>26675</v>
      </c>
    </row>
    <row r="874" spans="1:6" x14ac:dyDescent="0.75">
      <c r="A874">
        <v>2024</v>
      </c>
      <c r="B874" t="s">
        <v>59</v>
      </c>
      <c r="C874" t="s">
        <v>9</v>
      </c>
      <c r="D874" s="1">
        <v>25254</v>
      </c>
      <c r="E874" s="1">
        <v>498529</v>
      </c>
      <c r="F874" s="2">
        <v>21342</v>
      </c>
    </row>
    <row r="875" spans="1:6" x14ac:dyDescent="0.75">
      <c r="A875">
        <v>2024</v>
      </c>
      <c r="B875" t="s">
        <v>59</v>
      </c>
      <c r="C875" t="s">
        <v>10</v>
      </c>
      <c r="D875" s="1">
        <v>5038</v>
      </c>
      <c r="E875" s="1">
        <v>82521</v>
      </c>
      <c r="F875" s="2">
        <v>17770</v>
      </c>
    </row>
    <row r="876" spans="1:6" x14ac:dyDescent="0.75">
      <c r="A876">
        <v>2024</v>
      </c>
      <c r="B876" t="s">
        <v>59</v>
      </c>
      <c r="C876" t="s">
        <v>11</v>
      </c>
      <c r="D876" s="1">
        <v>33183</v>
      </c>
      <c r="E876" s="1">
        <v>622987</v>
      </c>
      <c r="F876" s="2">
        <v>24703</v>
      </c>
    </row>
    <row r="877" spans="1:6" x14ac:dyDescent="0.75">
      <c r="A877">
        <v>2024</v>
      </c>
      <c r="B877" t="s">
        <v>59</v>
      </c>
      <c r="C877" t="s">
        <v>12</v>
      </c>
      <c r="D877" s="1">
        <v>15776</v>
      </c>
      <c r="E877" s="1">
        <v>313889</v>
      </c>
      <c r="F877" s="2">
        <v>19660</v>
      </c>
    </row>
    <row r="878" spans="1:6" x14ac:dyDescent="0.75">
      <c r="A878">
        <v>2024</v>
      </c>
      <c r="B878" t="s">
        <v>59</v>
      </c>
      <c r="C878" t="s">
        <v>13</v>
      </c>
      <c r="D878" s="1">
        <v>8796</v>
      </c>
      <c r="E878" s="1">
        <v>144265</v>
      </c>
      <c r="F878" s="2">
        <v>17261</v>
      </c>
    </row>
    <row r="879" spans="1:6" x14ac:dyDescent="0.75">
      <c r="A879">
        <v>2024</v>
      </c>
      <c r="B879" t="s">
        <v>59</v>
      </c>
      <c r="C879" t="s">
        <v>14</v>
      </c>
      <c r="D879" s="1">
        <v>6871</v>
      </c>
      <c r="E879" s="1">
        <v>130101</v>
      </c>
      <c r="F879" s="2">
        <v>17333</v>
      </c>
    </row>
    <row r="880" spans="1:6" x14ac:dyDescent="0.75">
      <c r="A880">
        <v>2024</v>
      </c>
      <c r="B880" t="s">
        <v>59</v>
      </c>
      <c r="C880" t="s">
        <v>15</v>
      </c>
      <c r="D880" s="1">
        <v>10118</v>
      </c>
      <c r="E880" s="1">
        <v>201748</v>
      </c>
      <c r="F880" s="2">
        <v>18350</v>
      </c>
    </row>
    <row r="881" spans="1:6" x14ac:dyDescent="0.75">
      <c r="A881">
        <v>2024</v>
      </c>
      <c r="B881" t="s">
        <v>59</v>
      </c>
      <c r="C881" t="s">
        <v>16</v>
      </c>
      <c r="D881" s="1">
        <v>12912</v>
      </c>
      <c r="E881" s="1">
        <v>237469</v>
      </c>
      <c r="F881" s="2">
        <v>21789</v>
      </c>
    </row>
    <row r="882" spans="1:6" x14ac:dyDescent="0.75">
      <c r="A882">
        <v>2024</v>
      </c>
      <c r="B882" t="s">
        <v>59</v>
      </c>
      <c r="C882" t="s">
        <v>17</v>
      </c>
      <c r="D882" s="1">
        <v>5132</v>
      </c>
      <c r="E882" s="1">
        <v>69501</v>
      </c>
      <c r="F882" s="2">
        <v>23169</v>
      </c>
    </row>
    <row r="883" spans="1:6" x14ac:dyDescent="0.75">
      <c r="A883">
        <v>2024</v>
      </c>
      <c r="B883" t="s">
        <v>59</v>
      </c>
      <c r="C883" t="s">
        <v>18</v>
      </c>
      <c r="D883" s="1">
        <v>15043</v>
      </c>
      <c r="E883" s="1">
        <v>282746</v>
      </c>
      <c r="F883" s="2">
        <v>24758</v>
      </c>
    </row>
    <row r="884" spans="1:6" x14ac:dyDescent="0.75">
      <c r="A884">
        <v>2024</v>
      </c>
      <c r="B884" t="s">
        <v>59</v>
      </c>
      <c r="C884" t="s">
        <v>19</v>
      </c>
      <c r="D884" s="1">
        <v>20740</v>
      </c>
      <c r="E884" s="1">
        <v>379863</v>
      </c>
      <c r="F884" s="2">
        <v>29500</v>
      </c>
    </row>
    <row r="885" spans="1:6" x14ac:dyDescent="0.75">
      <c r="A885">
        <v>2024</v>
      </c>
      <c r="B885" t="s">
        <v>59</v>
      </c>
      <c r="C885" t="s">
        <v>20</v>
      </c>
      <c r="D885" s="1">
        <v>23113</v>
      </c>
      <c r="E885" s="1">
        <v>434299</v>
      </c>
      <c r="F885" s="2">
        <v>21121</v>
      </c>
    </row>
    <row r="886" spans="1:6" x14ac:dyDescent="0.75">
      <c r="A886">
        <v>2024</v>
      </c>
      <c r="B886" t="s">
        <v>59</v>
      </c>
      <c r="C886" t="s">
        <v>21</v>
      </c>
      <c r="D886" s="1">
        <v>15325</v>
      </c>
      <c r="E886" s="1">
        <v>275608</v>
      </c>
      <c r="F886" s="2">
        <v>23261</v>
      </c>
    </row>
    <row r="887" spans="1:6" x14ac:dyDescent="0.75">
      <c r="A887">
        <v>2024</v>
      </c>
      <c r="B887" t="s">
        <v>59</v>
      </c>
      <c r="C887" t="s">
        <v>22</v>
      </c>
      <c r="D887" s="1">
        <v>6514</v>
      </c>
      <c r="E887" s="1">
        <v>136282</v>
      </c>
      <c r="F887" s="2">
        <v>17817</v>
      </c>
    </row>
    <row r="888" spans="1:6" x14ac:dyDescent="0.75">
      <c r="A888">
        <v>2024</v>
      </c>
      <c r="B888" t="s">
        <v>59</v>
      </c>
      <c r="C888" t="s">
        <v>23</v>
      </c>
      <c r="D888" s="1">
        <v>15195</v>
      </c>
      <c r="E888" s="1">
        <v>308646</v>
      </c>
      <c r="F888" s="2">
        <v>21614</v>
      </c>
    </row>
    <row r="889" spans="1:6" x14ac:dyDescent="0.75">
      <c r="A889">
        <v>2024</v>
      </c>
      <c r="B889" t="s">
        <v>59</v>
      </c>
      <c r="C889" t="s">
        <v>24</v>
      </c>
      <c r="D889" s="1">
        <v>5052</v>
      </c>
      <c r="E889" s="1">
        <v>67008</v>
      </c>
      <c r="F889" s="2">
        <v>19955</v>
      </c>
    </row>
    <row r="890" spans="1:6" x14ac:dyDescent="0.75">
      <c r="A890">
        <v>2024</v>
      </c>
      <c r="B890" t="s">
        <v>59</v>
      </c>
      <c r="C890" t="s">
        <v>25</v>
      </c>
      <c r="D890" s="1">
        <v>5609</v>
      </c>
      <c r="E890" s="1">
        <v>93856</v>
      </c>
      <c r="F890" s="2">
        <v>17213</v>
      </c>
    </row>
    <row r="891" spans="1:6" x14ac:dyDescent="0.75">
      <c r="A891">
        <v>2024</v>
      </c>
      <c r="B891" t="s">
        <v>59</v>
      </c>
      <c r="C891" t="s">
        <v>26</v>
      </c>
      <c r="D891" s="1">
        <v>8716</v>
      </c>
      <c r="E891" s="1">
        <v>355178</v>
      </c>
      <c r="F891" s="2">
        <v>34432</v>
      </c>
    </row>
    <row r="892" spans="1:6" x14ac:dyDescent="0.75">
      <c r="A892">
        <v>2024</v>
      </c>
      <c r="B892" t="s">
        <v>59</v>
      </c>
      <c r="C892" t="s">
        <v>27</v>
      </c>
      <c r="D892" s="1">
        <v>4675</v>
      </c>
      <c r="E892" s="1">
        <v>73214</v>
      </c>
      <c r="F892" s="2">
        <v>22783</v>
      </c>
    </row>
    <row r="893" spans="1:6" x14ac:dyDescent="0.75">
      <c r="A893">
        <v>2024</v>
      </c>
      <c r="B893" t="s">
        <v>59</v>
      </c>
      <c r="C893" t="s">
        <v>28</v>
      </c>
      <c r="D893" s="1">
        <v>24526</v>
      </c>
      <c r="E893" s="1">
        <v>391519</v>
      </c>
      <c r="F893" s="2">
        <v>26347</v>
      </c>
    </row>
    <row r="894" spans="1:6" x14ac:dyDescent="0.75">
      <c r="A894">
        <v>2024</v>
      </c>
      <c r="B894" t="s">
        <v>59</v>
      </c>
      <c r="C894" t="s">
        <v>29</v>
      </c>
      <c r="D894" s="1">
        <v>5277</v>
      </c>
      <c r="E894" s="1">
        <v>99656</v>
      </c>
      <c r="F894" s="2">
        <v>19571</v>
      </c>
    </row>
    <row r="895" spans="1:6" x14ac:dyDescent="0.75">
      <c r="A895">
        <v>2024</v>
      </c>
      <c r="B895" t="s">
        <v>59</v>
      </c>
      <c r="C895" t="s">
        <v>30</v>
      </c>
      <c r="D895" s="1">
        <v>65868</v>
      </c>
      <c r="E895" s="1">
        <v>957897</v>
      </c>
      <c r="F895" s="2">
        <v>35828</v>
      </c>
    </row>
    <row r="896" spans="1:6" x14ac:dyDescent="0.75">
      <c r="A896">
        <v>2024</v>
      </c>
      <c r="B896" t="s">
        <v>59</v>
      </c>
      <c r="C896" t="s">
        <v>31</v>
      </c>
      <c r="D896" s="1">
        <v>26474</v>
      </c>
      <c r="E896" s="1">
        <v>515152</v>
      </c>
      <c r="F896" s="2">
        <v>20460</v>
      </c>
    </row>
    <row r="897" spans="1:6" x14ac:dyDescent="0.75">
      <c r="A897">
        <v>2024</v>
      </c>
      <c r="B897" t="s">
        <v>59</v>
      </c>
      <c r="C897" t="s">
        <v>32</v>
      </c>
      <c r="D897" s="1">
        <v>2610</v>
      </c>
      <c r="E897" s="1">
        <v>40423</v>
      </c>
      <c r="F897" s="2">
        <v>18573</v>
      </c>
    </row>
    <row r="898" spans="1:6" x14ac:dyDescent="0.75">
      <c r="A898">
        <v>2024</v>
      </c>
      <c r="B898" t="s">
        <v>59</v>
      </c>
      <c r="C898" t="s">
        <v>33</v>
      </c>
      <c r="D898" s="1">
        <v>29035</v>
      </c>
      <c r="E898" s="1">
        <v>570254</v>
      </c>
      <c r="F898" s="2">
        <v>20197</v>
      </c>
    </row>
    <row r="899" spans="1:6" x14ac:dyDescent="0.75">
      <c r="A899">
        <v>2024</v>
      </c>
      <c r="B899" t="s">
        <v>59</v>
      </c>
      <c r="C899" t="s">
        <v>34</v>
      </c>
      <c r="D899" s="1">
        <v>9209</v>
      </c>
      <c r="E899" s="1">
        <v>174213</v>
      </c>
      <c r="F899" s="2">
        <v>18600</v>
      </c>
    </row>
    <row r="900" spans="1:6" x14ac:dyDescent="0.75">
      <c r="A900">
        <v>2024</v>
      </c>
      <c r="B900" t="s">
        <v>59</v>
      </c>
      <c r="C900" t="s">
        <v>35</v>
      </c>
      <c r="D900" s="1">
        <v>14116</v>
      </c>
      <c r="E900" s="1">
        <v>213454</v>
      </c>
      <c r="F900" s="2">
        <v>23818</v>
      </c>
    </row>
    <row r="901" spans="1:6" x14ac:dyDescent="0.75">
      <c r="A901">
        <v>2024</v>
      </c>
      <c r="B901" t="s">
        <v>59</v>
      </c>
      <c r="C901" t="s">
        <v>36</v>
      </c>
      <c r="D901" s="1">
        <v>33729</v>
      </c>
      <c r="E901" s="1">
        <v>577911</v>
      </c>
      <c r="F901" s="2">
        <v>22011</v>
      </c>
    </row>
    <row r="902" spans="1:6" x14ac:dyDescent="0.75">
      <c r="A902">
        <v>2024</v>
      </c>
      <c r="B902" t="s">
        <v>59</v>
      </c>
      <c r="C902" t="s">
        <v>37</v>
      </c>
      <c r="D902" s="1">
        <v>3873</v>
      </c>
      <c r="E902" s="1">
        <v>60008</v>
      </c>
      <c r="F902" s="2">
        <v>23680</v>
      </c>
    </row>
    <row r="903" spans="1:6" x14ac:dyDescent="0.75">
      <c r="A903">
        <v>2024</v>
      </c>
      <c r="B903" t="s">
        <v>59</v>
      </c>
      <c r="C903" t="s">
        <v>38</v>
      </c>
      <c r="D903" s="1">
        <v>13400</v>
      </c>
      <c r="E903" s="1">
        <v>270473</v>
      </c>
      <c r="F903" s="2">
        <v>18816</v>
      </c>
    </row>
    <row r="904" spans="1:6" x14ac:dyDescent="0.75">
      <c r="A904">
        <v>2024</v>
      </c>
      <c r="B904" t="s">
        <v>59</v>
      </c>
      <c r="C904" t="s">
        <v>39</v>
      </c>
      <c r="D904" s="1">
        <v>3191</v>
      </c>
      <c r="E904" s="1">
        <v>47413</v>
      </c>
      <c r="F904" s="2">
        <v>17519</v>
      </c>
    </row>
    <row r="905" spans="1:6" x14ac:dyDescent="0.75">
      <c r="A905">
        <v>2024</v>
      </c>
      <c r="B905" t="s">
        <v>59</v>
      </c>
      <c r="C905" t="s">
        <v>40</v>
      </c>
      <c r="D905" s="1">
        <v>16924</v>
      </c>
      <c r="E905" s="1">
        <v>347181</v>
      </c>
      <c r="F905" s="2">
        <v>23878</v>
      </c>
    </row>
    <row r="906" spans="1:6" x14ac:dyDescent="0.75">
      <c r="A906">
        <v>2024</v>
      </c>
      <c r="B906" t="s">
        <v>59</v>
      </c>
      <c r="C906" t="s">
        <v>41</v>
      </c>
      <c r="D906" s="1">
        <v>65057</v>
      </c>
      <c r="E906" s="1">
        <v>1394036</v>
      </c>
      <c r="F906" s="2">
        <v>22762</v>
      </c>
    </row>
    <row r="907" spans="1:6" x14ac:dyDescent="0.75">
      <c r="A907">
        <v>2024</v>
      </c>
      <c r="B907" t="s">
        <v>59</v>
      </c>
      <c r="C907" t="s">
        <v>42</v>
      </c>
      <c r="D907" s="1">
        <v>7570</v>
      </c>
      <c r="E907" s="1">
        <v>153412</v>
      </c>
      <c r="F907" s="2">
        <v>20955</v>
      </c>
    </row>
    <row r="908" spans="1:6" x14ac:dyDescent="0.75">
      <c r="A908">
        <v>2024</v>
      </c>
      <c r="B908" t="s">
        <v>59</v>
      </c>
      <c r="C908" t="s">
        <v>43</v>
      </c>
      <c r="D908" s="1">
        <v>2268</v>
      </c>
      <c r="E908" s="1">
        <v>37208</v>
      </c>
      <c r="F908" s="2">
        <v>23863</v>
      </c>
    </row>
    <row r="909" spans="1:6" x14ac:dyDescent="0.75">
      <c r="A909">
        <v>2024</v>
      </c>
      <c r="B909" t="s">
        <v>59</v>
      </c>
      <c r="C909" t="s">
        <v>44</v>
      </c>
      <c r="D909" s="1">
        <v>20743</v>
      </c>
      <c r="E909" s="1">
        <v>408354</v>
      </c>
      <c r="F909" s="2">
        <v>21582</v>
      </c>
    </row>
    <row r="910" spans="1:6" x14ac:dyDescent="0.75">
      <c r="A910">
        <v>2024</v>
      </c>
      <c r="B910" t="s">
        <v>59</v>
      </c>
      <c r="C910" t="s">
        <v>45</v>
      </c>
      <c r="D910" s="1">
        <v>20637</v>
      </c>
      <c r="E910" s="1">
        <v>341265</v>
      </c>
      <c r="F910" s="2">
        <v>26566</v>
      </c>
    </row>
    <row r="911" spans="1:6" x14ac:dyDescent="0.75">
      <c r="A911">
        <v>2024</v>
      </c>
      <c r="B911" t="s">
        <v>59</v>
      </c>
      <c r="C911" t="s">
        <v>46</v>
      </c>
      <c r="D911" s="1">
        <v>4658</v>
      </c>
      <c r="E911" s="1">
        <v>75027</v>
      </c>
      <c r="F911" s="2">
        <v>18256</v>
      </c>
    </row>
    <row r="912" spans="1:6" x14ac:dyDescent="0.75">
      <c r="A912">
        <v>2024</v>
      </c>
      <c r="B912" t="s">
        <v>59</v>
      </c>
      <c r="C912" t="s">
        <v>47</v>
      </c>
      <c r="D912" s="1">
        <v>17015</v>
      </c>
      <c r="E912" s="1">
        <v>285279</v>
      </c>
      <c r="F912" s="2">
        <v>18758</v>
      </c>
    </row>
    <row r="913" spans="1:6" x14ac:dyDescent="0.75">
      <c r="A913">
        <v>2024</v>
      </c>
      <c r="B913" t="s">
        <v>59</v>
      </c>
      <c r="C913" t="s">
        <v>48</v>
      </c>
      <c r="D913" s="1">
        <v>2398</v>
      </c>
      <c r="E913" s="1">
        <v>37041</v>
      </c>
      <c r="F913" s="2">
        <v>21994</v>
      </c>
    </row>
    <row r="914" spans="1:6" x14ac:dyDescent="0.75">
      <c r="A914">
        <v>2024</v>
      </c>
      <c r="B914" t="s">
        <v>60</v>
      </c>
      <c r="C914" t="s">
        <v>1</v>
      </c>
      <c r="D914" s="1">
        <v>10189</v>
      </c>
      <c r="E914" s="1">
        <v>46816</v>
      </c>
      <c r="F914" s="2">
        <v>38607</v>
      </c>
    </row>
    <row r="915" spans="1:6" x14ac:dyDescent="0.75">
      <c r="A915">
        <v>2024</v>
      </c>
      <c r="B915" t="s">
        <v>60</v>
      </c>
      <c r="C915" t="s">
        <v>2</v>
      </c>
      <c r="D915" s="1">
        <v>10674</v>
      </c>
      <c r="E915" s="1">
        <v>75782</v>
      </c>
      <c r="F915" s="2">
        <v>39965</v>
      </c>
    </row>
    <row r="916" spans="1:6" x14ac:dyDescent="0.75">
      <c r="A916">
        <v>2024</v>
      </c>
      <c r="B916" t="s">
        <v>60</v>
      </c>
      <c r="C916" t="s">
        <v>3</v>
      </c>
      <c r="D916" s="1">
        <v>5359</v>
      </c>
      <c r="E916" s="1">
        <v>25279</v>
      </c>
      <c r="F916" s="2">
        <v>36115</v>
      </c>
    </row>
    <row r="917" spans="1:6" x14ac:dyDescent="0.75">
      <c r="A917">
        <v>2024</v>
      </c>
      <c r="B917" t="s">
        <v>60</v>
      </c>
      <c r="C917" t="s">
        <v>4</v>
      </c>
      <c r="D917" s="1">
        <v>97442</v>
      </c>
      <c r="E917" s="1">
        <v>547972</v>
      </c>
      <c r="F917" s="2">
        <v>42293</v>
      </c>
    </row>
    <row r="918" spans="1:6" x14ac:dyDescent="0.75">
      <c r="A918">
        <v>2024</v>
      </c>
      <c r="B918" t="s">
        <v>60</v>
      </c>
      <c r="C918" t="s">
        <v>5</v>
      </c>
      <c r="D918" s="1">
        <v>17008</v>
      </c>
      <c r="E918" s="1">
        <v>84571</v>
      </c>
      <c r="F918" s="2">
        <v>42381</v>
      </c>
    </row>
    <row r="919" spans="1:6" x14ac:dyDescent="0.75">
      <c r="A919">
        <v>2024</v>
      </c>
      <c r="B919" t="s">
        <v>60</v>
      </c>
      <c r="C919" t="s">
        <v>6</v>
      </c>
      <c r="D919" s="1">
        <v>18146</v>
      </c>
      <c r="E919" s="1">
        <v>66497</v>
      </c>
      <c r="F919" s="2">
        <v>34861</v>
      </c>
    </row>
    <row r="920" spans="1:6" x14ac:dyDescent="0.75">
      <c r="A920">
        <v>2024</v>
      </c>
      <c r="B920" t="s">
        <v>60</v>
      </c>
      <c r="C920" t="s">
        <v>7</v>
      </c>
      <c r="D920" s="1">
        <v>2052</v>
      </c>
      <c r="E920" s="1">
        <v>12125</v>
      </c>
      <c r="F920" s="2">
        <v>35636</v>
      </c>
    </row>
    <row r="921" spans="1:6" x14ac:dyDescent="0.75">
      <c r="A921">
        <v>2024</v>
      </c>
      <c r="B921" t="s">
        <v>60</v>
      </c>
      <c r="C921" t="s">
        <v>8</v>
      </c>
      <c r="D921" s="1">
        <v>56765</v>
      </c>
      <c r="E921" s="1">
        <v>281975</v>
      </c>
      <c r="F921" s="2">
        <v>37969</v>
      </c>
    </row>
    <row r="922" spans="1:6" x14ac:dyDescent="0.75">
      <c r="A922">
        <v>2024</v>
      </c>
      <c r="B922" t="s">
        <v>60</v>
      </c>
      <c r="C922" t="s">
        <v>9</v>
      </c>
      <c r="D922" s="1">
        <v>18227</v>
      </c>
      <c r="E922" s="1">
        <v>111902</v>
      </c>
      <c r="F922" s="2">
        <v>37971</v>
      </c>
    </row>
    <row r="923" spans="1:6" x14ac:dyDescent="0.75">
      <c r="A923">
        <v>2024</v>
      </c>
      <c r="B923" t="s">
        <v>60</v>
      </c>
      <c r="C923" t="s">
        <v>10</v>
      </c>
      <c r="D923" s="1">
        <v>3845</v>
      </c>
      <c r="E923" s="1">
        <v>19414</v>
      </c>
      <c r="F923" s="2">
        <v>32615</v>
      </c>
    </row>
    <row r="924" spans="1:6" x14ac:dyDescent="0.75">
      <c r="A924">
        <v>2024</v>
      </c>
      <c r="B924" t="s">
        <v>60</v>
      </c>
      <c r="C924" t="s">
        <v>11</v>
      </c>
      <c r="D924" s="1">
        <v>39884</v>
      </c>
      <c r="E924" s="1">
        <v>209967</v>
      </c>
      <c r="F924" s="2">
        <v>43714</v>
      </c>
    </row>
    <row r="925" spans="1:6" x14ac:dyDescent="0.75">
      <c r="A925">
        <v>2024</v>
      </c>
      <c r="B925" t="s">
        <v>60</v>
      </c>
      <c r="C925" t="s">
        <v>12</v>
      </c>
      <c r="D925" s="1">
        <v>12916</v>
      </c>
      <c r="E925" s="1">
        <v>89273</v>
      </c>
      <c r="F925" s="2">
        <v>33759</v>
      </c>
    </row>
    <row r="926" spans="1:6" x14ac:dyDescent="0.75">
      <c r="A926">
        <v>2024</v>
      </c>
      <c r="B926" t="s">
        <v>60</v>
      </c>
      <c r="C926" t="s">
        <v>13</v>
      </c>
      <c r="D926" s="1">
        <v>8547</v>
      </c>
      <c r="E926" s="1">
        <v>42519</v>
      </c>
      <c r="F926" s="2">
        <v>36534</v>
      </c>
    </row>
    <row r="927" spans="1:6" x14ac:dyDescent="0.75">
      <c r="A927">
        <v>2024</v>
      </c>
      <c r="B927" t="s">
        <v>60</v>
      </c>
      <c r="C927" t="s">
        <v>14</v>
      </c>
      <c r="D927" s="1">
        <v>5938</v>
      </c>
      <c r="E927" s="1">
        <v>34833</v>
      </c>
      <c r="F927" s="2">
        <v>35624</v>
      </c>
    </row>
    <row r="928" spans="1:6" x14ac:dyDescent="0.75">
      <c r="A928">
        <v>2024</v>
      </c>
      <c r="B928" t="s">
        <v>60</v>
      </c>
      <c r="C928" t="s">
        <v>15</v>
      </c>
      <c r="D928" s="1">
        <v>10404</v>
      </c>
      <c r="E928" s="1">
        <v>46571</v>
      </c>
      <c r="F928" s="2">
        <v>34846</v>
      </c>
    </row>
    <row r="929" spans="1:6" x14ac:dyDescent="0.75">
      <c r="A929">
        <v>2024</v>
      </c>
      <c r="B929" t="s">
        <v>60</v>
      </c>
      <c r="C929" t="s">
        <v>16</v>
      </c>
      <c r="D929" s="1">
        <v>9280</v>
      </c>
      <c r="E929" s="1">
        <v>46391</v>
      </c>
      <c r="F929" s="2">
        <v>38963</v>
      </c>
    </row>
    <row r="930" spans="1:6" x14ac:dyDescent="0.75">
      <c r="A930">
        <v>2024</v>
      </c>
      <c r="B930" t="s">
        <v>60</v>
      </c>
      <c r="C930" t="s">
        <v>17</v>
      </c>
      <c r="D930" s="1">
        <v>3777</v>
      </c>
      <c r="E930" s="1">
        <v>17863</v>
      </c>
      <c r="F930" s="2">
        <v>35322</v>
      </c>
    </row>
    <row r="931" spans="1:6" x14ac:dyDescent="0.75">
      <c r="A931">
        <v>2024</v>
      </c>
      <c r="B931" t="s">
        <v>60</v>
      </c>
      <c r="C931" t="s">
        <v>18</v>
      </c>
      <c r="D931" s="1">
        <v>19358</v>
      </c>
      <c r="E931" s="1">
        <v>91545</v>
      </c>
      <c r="F931" s="2">
        <v>44150</v>
      </c>
    </row>
    <row r="932" spans="1:6" x14ac:dyDescent="0.75">
      <c r="A932">
        <v>2024</v>
      </c>
      <c r="B932" t="s">
        <v>60</v>
      </c>
      <c r="C932" t="s">
        <v>19</v>
      </c>
      <c r="D932" s="1">
        <v>22046</v>
      </c>
      <c r="E932" s="1">
        <v>121404</v>
      </c>
      <c r="F932" s="2">
        <v>40421</v>
      </c>
    </row>
    <row r="933" spans="1:6" x14ac:dyDescent="0.75">
      <c r="A933">
        <v>2024</v>
      </c>
      <c r="B933" t="s">
        <v>60</v>
      </c>
      <c r="C933" t="s">
        <v>20</v>
      </c>
      <c r="D933" s="1">
        <v>32480</v>
      </c>
      <c r="E933" s="1">
        <v>140352</v>
      </c>
      <c r="F933" s="2">
        <v>34330</v>
      </c>
    </row>
    <row r="934" spans="1:6" x14ac:dyDescent="0.75">
      <c r="A934">
        <v>2024</v>
      </c>
      <c r="B934" t="s">
        <v>60</v>
      </c>
      <c r="C934" t="s">
        <v>21</v>
      </c>
      <c r="D934" s="1">
        <v>17266</v>
      </c>
      <c r="E934" s="1">
        <v>91238</v>
      </c>
      <c r="F934" s="2">
        <v>35478</v>
      </c>
    </row>
    <row r="935" spans="1:6" x14ac:dyDescent="0.75">
      <c r="A935">
        <v>2024</v>
      </c>
      <c r="B935" t="s">
        <v>60</v>
      </c>
      <c r="C935" t="s">
        <v>22</v>
      </c>
      <c r="D935" s="1">
        <v>4589</v>
      </c>
      <c r="E935" s="1">
        <v>21043</v>
      </c>
      <c r="F935" s="2">
        <v>36243</v>
      </c>
    </row>
    <row r="936" spans="1:6" x14ac:dyDescent="0.75">
      <c r="A936">
        <v>2024</v>
      </c>
      <c r="B936" t="s">
        <v>60</v>
      </c>
      <c r="C936" t="s">
        <v>23</v>
      </c>
      <c r="D936" s="1">
        <v>13240</v>
      </c>
      <c r="E936" s="1">
        <v>75829</v>
      </c>
      <c r="F936" s="2">
        <v>35224</v>
      </c>
    </row>
    <row r="937" spans="1:6" x14ac:dyDescent="0.75">
      <c r="A937">
        <v>2024</v>
      </c>
      <c r="B937" t="s">
        <v>60</v>
      </c>
      <c r="C937" t="s">
        <v>24</v>
      </c>
      <c r="D937" s="1">
        <v>4153</v>
      </c>
      <c r="E937" s="1">
        <v>18442</v>
      </c>
      <c r="F937" s="2">
        <v>31791</v>
      </c>
    </row>
    <row r="938" spans="1:6" x14ac:dyDescent="0.75">
      <c r="A938">
        <v>2024</v>
      </c>
      <c r="B938" t="s">
        <v>60</v>
      </c>
      <c r="C938" t="s">
        <v>25</v>
      </c>
      <c r="D938" s="1">
        <v>4572</v>
      </c>
      <c r="E938" s="1">
        <v>25509</v>
      </c>
      <c r="F938" s="2">
        <v>33587</v>
      </c>
    </row>
    <row r="939" spans="1:6" x14ac:dyDescent="0.75">
      <c r="A939">
        <v>2024</v>
      </c>
      <c r="B939" t="s">
        <v>60</v>
      </c>
      <c r="C939" t="s">
        <v>26</v>
      </c>
      <c r="D939" s="1">
        <v>5140</v>
      </c>
      <c r="E939" s="1">
        <v>35449</v>
      </c>
      <c r="F939" s="2">
        <v>38479</v>
      </c>
    </row>
    <row r="940" spans="1:6" x14ac:dyDescent="0.75">
      <c r="A940">
        <v>2024</v>
      </c>
      <c r="B940" t="s">
        <v>60</v>
      </c>
      <c r="C940" t="s">
        <v>27</v>
      </c>
      <c r="D940" s="1">
        <v>4011</v>
      </c>
      <c r="E940" s="1">
        <v>21600</v>
      </c>
      <c r="F940" s="2">
        <v>39236</v>
      </c>
    </row>
    <row r="941" spans="1:6" x14ac:dyDescent="0.75">
      <c r="A941">
        <v>2024</v>
      </c>
      <c r="B941" t="s">
        <v>60</v>
      </c>
      <c r="C941" t="s">
        <v>28</v>
      </c>
      <c r="D941" s="1">
        <v>24469</v>
      </c>
      <c r="E941" s="1">
        <v>138255</v>
      </c>
      <c r="F941" s="2">
        <v>37373</v>
      </c>
    </row>
    <row r="942" spans="1:6" x14ac:dyDescent="0.75">
      <c r="A942">
        <v>2024</v>
      </c>
      <c r="B942" t="s">
        <v>60</v>
      </c>
      <c r="C942" t="s">
        <v>29</v>
      </c>
      <c r="D942" s="1">
        <v>4216</v>
      </c>
      <c r="E942" s="1">
        <v>21214</v>
      </c>
      <c r="F942" s="2">
        <v>35417</v>
      </c>
    </row>
    <row r="943" spans="1:6" x14ac:dyDescent="0.75">
      <c r="A943">
        <v>2024</v>
      </c>
      <c r="B943" t="s">
        <v>60</v>
      </c>
      <c r="C943" t="s">
        <v>30</v>
      </c>
      <c r="D943" s="1">
        <v>72430</v>
      </c>
      <c r="E943" s="1">
        <v>371218</v>
      </c>
      <c r="F943" s="2">
        <v>43410</v>
      </c>
    </row>
    <row r="944" spans="1:6" x14ac:dyDescent="0.75">
      <c r="A944">
        <v>2024</v>
      </c>
      <c r="B944" t="s">
        <v>60</v>
      </c>
      <c r="C944" t="s">
        <v>31</v>
      </c>
      <c r="D944" s="1">
        <v>24457</v>
      </c>
      <c r="E944" s="1">
        <v>115119</v>
      </c>
      <c r="F944" s="2">
        <v>36624</v>
      </c>
    </row>
    <row r="945" spans="1:6" x14ac:dyDescent="0.75">
      <c r="A945">
        <v>2024</v>
      </c>
      <c r="B945" t="s">
        <v>60</v>
      </c>
      <c r="C945" t="s">
        <v>32</v>
      </c>
      <c r="D945" s="1">
        <v>2047</v>
      </c>
      <c r="E945" s="1">
        <v>11337</v>
      </c>
      <c r="F945" s="2">
        <v>38696</v>
      </c>
    </row>
    <row r="946" spans="1:6" x14ac:dyDescent="0.75">
      <c r="A946">
        <v>2024</v>
      </c>
      <c r="B946" t="s">
        <v>60</v>
      </c>
      <c r="C946" t="s">
        <v>33</v>
      </c>
      <c r="D946" s="1">
        <v>23639</v>
      </c>
      <c r="E946" s="1">
        <v>157001</v>
      </c>
      <c r="F946" s="2">
        <v>35006</v>
      </c>
    </row>
    <row r="947" spans="1:6" x14ac:dyDescent="0.75">
      <c r="A947">
        <v>2024</v>
      </c>
      <c r="B947" t="s">
        <v>60</v>
      </c>
      <c r="C947" t="s">
        <v>34</v>
      </c>
      <c r="D947" s="1">
        <v>6589</v>
      </c>
      <c r="E947" s="1">
        <v>36706</v>
      </c>
      <c r="F947" s="2">
        <v>36151</v>
      </c>
    </row>
    <row r="948" spans="1:6" x14ac:dyDescent="0.75">
      <c r="A948">
        <v>2024</v>
      </c>
      <c r="B948" t="s">
        <v>60</v>
      </c>
      <c r="C948" t="s">
        <v>35</v>
      </c>
      <c r="D948" s="1">
        <v>25468</v>
      </c>
      <c r="E948" s="1">
        <v>78423</v>
      </c>
      <c r="F948" s="2">
        <v>35467</v>
      </c>
    </row>
    <row r="949" spans="1:6" x14ac:dyDescent="0.75">
      <c r="A949">
        <v>2024</v>
      </c>
      <c r="B949" t="s">
        <v>60</v>
      </c>
      <c r="C949" t="s">
        <v>36</v>
      </c>
      <c r="D949" s="1">
        <v>33082</v>
      </c>
      <c r="E949" s="1">
        <v>202171</v>
      </c>
      <c r="F949" s="2">
        <v>35131</v>
      </c>
    </row>
    <row r="950" spans="1:6" x14ac:dyDescent="0.75">
      <c r="A950">
        <v>2024</v>
      </c>
      <c r="B950" t="s">
        <v>60</v>
      </c>
      <c r="C950" t="s">
        <v>37</v>
      </c>
      <c r="D950" s="1">
        <v>3537</v>
      </c>
      <c r="E950" s="1">
        <v>18157</v>
      </c>
      <c r="F950" s="2">
        <v>34466</v>
      </c>
    </row>
    <row r="951" spans="1:6" x14ac:dyDescent="0.75">
      <c r="A951">
        <v>2024</v>
      </c>
      <c r="B951" t="s">
        <v>60</v>
      </c>
      <c r="C951" t="s">
        <v>38</v>
      </c>
      <c r="D951" s="1">
        <v>12142</v>
      </c>
      <c r="E951" s="1">
        <v>54906</v>
      </c>
      <c r="F951" s="2">
        <v>34386</v>
      </c>
    </row>
    <row r="952" spans="1:6" x14ac:dyDescent="0.75">
      <c r="A952">
        <v>2024</v>
      </c>
      <c r="B952" t="s">
        <v>60</v>
      </c>
      <c r="C952" t="s">
        <v>39</v>
      </c>
      <c r="D952" s="1">
        <v>2223</v>
      </c>
      <c r="E952" s="1">
        <v>11326</v>
      </c>
      <c r="F952" s="2">
        <v>34233</v>
      </c>
    </row>
    <row r="953" spans="1:6" x14ac:dyDescent="0.75">
      <c r="A953">
        <v>2024</v>
      </c>
      <c r="B953" t="s">
        <v>60</v>
      </c>
      <c r="C953" t="s">
        <v>40</v>
      </c>
      <c r="D953" s="1">
        <v>15931</v>
      </c>
      <c r="E953" s="1">
        <v>80484</v>
      </c>
      <c r="F953" s="2">
        <v>36227</v>
      </c>
    </row>
    <row r="954" spans="1:6" x14ac:dyDescent="0.75">
      <c r="A954">
        <v>2024</v>
      </c>
      <c r="B954" t="s">
        <v>60</v>
      </c>
      <c r="C954" t="s">
        <v>41</v>
      </c>
      <c r="D954" s="1">
        <v>57504</v>
      </c>
      <c r="E954" s="1">
        <v>343287</v>
      </c>
      <c r="F954" s="2">
        <v>41110</v>
      </c>
    </row>
    <row r="955" spans="1:6" x14ac:dyDescent="0.75">
      <c r="A955">
        <v>2024</v>
      </c>
      <c r="B955" t="s">
        <v>60</v>
      </c>
      <c r="C955" t="s">
        <v>42</v>
      </c>
      <c r="D955" s="1">
        <v>6492</v>
      </c>
      <c r="E955" s="1">
        <v>37200</v>
      </c>
      <c r="F955" s="2">
        <v>37389</v>
      </c>
    </row>
    <row r="956" spans="1:6" x14ac:dyDescent="0.75">
      <c r="A956">
        <v>2024</v>
      </c>
      <c r="B956" t="s">
        <v>60</v>
      </c>
      <c r="C956" t="s">
        <v>43</v>
      </c>
      <c r="D956" s="1">
        <v>1990</v>
      </c>
      <c r="E956" s="1">
        <v>8772</v>
      </c>
      <c r="F956" s="2">
        <v>37394</v>
      </c>
    </row>
    <row r="957" spans="1:6" x14ac:dyDescent="0.75">
      <c r="A957">
        <v>2024</v>
      </c>
      <c r="B957" t="s">
        <v>60</v>
      </c>
      <c r="C957" t="s">
        <v>44</v>
      </c>
      <c r="D957" s="1">
        <v>29777</v>
      </c>
      <c r="E957" s="1">
        <v>140456</v>
      </c>
      <c r="F957" s="2">
        <v>45136</v>
      </c>
    </row>
    <row r="958" spans="1:6" x14ac:dyDescent="0.75">
      <c r="A958">
        <v>2024</v>
      </c>
      <c r="B958" t="s">
        <v>60</v>
      </c>
      <c r="C958" t="s">
        <v>45</v>
      </c>
      <c r="D958" s="1">
        <v>19915</v>
      </c>
      <c r="E958" s="1">
        <v>102632</v>
      </c>
      <c r="F958" s="2">
        <v>42585</v>
      </c>
    </row>
    <row r="959" spans="1:6" x14ac:dyDescent="0.75">
      <c r="A959">
        <v>2024</v>
      </c>
      <c r="B959" t="s">
        <v>60</v>
      </c>
      <c r="C959" t="s">
        <v>46</v>
      </c>
      <c r="D959" s="1">
        <v>5797</v>
      </c>
      <c r="E959" s="1">
        <v>20164</v>
      </c>
      <c r="F959" s="2">
        <v>32080</v>
      </c>
    </row>
    <row r="960" spans="1:6" x14ac:dyDescent="0.75">
      <c r="A960">
        <v>2024</v>
      </c>
      <c r="B960" t="s">
        <v>60</v>
      </c>
      <c r="C960" t="s">
        <v>47</v>
      </c>
      <c r="D960" s="1">
        <v>13757</v>
      </c>
      <c r="E960" s="1">
        <v>84267</v>
      </c>
      <c r="F960" s="2">
        <v>31908</v>
      </c>
    </row>
    <row r="961" spans="1:6" x14ac:dyDescent="0.75">
      <c r="A961">
        <v>2024</v>
      </c>
      <c r="B961" t="s">
        <v>60</v>
      </c>
      <c r="C961" t="s">
        <v>48</v>
      </c>
      <c r="D961" s="1">
        <v>1655</v>
      </c>
      <c r="E961" s="1">
        <v>7188</v>
      </c>
      <c r="F961" s="2">
        <v>39255</v>
      </c>
    </row>
    <row r="962" spans="1:6" x14ac:dyDescent="0.75">
      <c r="A962">
        <v>2023</v>
      </c>
      <c r="B962" t="s">
        <v>55</v>
      </c>
      <c r="C962" t="s">
        <v>1</v>
      </c>
      <c r="D962" s="1">
        <v>1843</v>
      </c>
      <c r="E962" s="1">
        <v>18397</v>
      </c>
      <c r="F962" s="2">
        <v>56388</v>
      </c>
    </row>
    <row r="963" spans="1:6" x14ac:dyDescent="0.75">
      <c r="A963">
        <v>2023</v>
      </c>
      <c r="B963" t="s">
        <v>55</v>
      </c>
      <c r="C963" t="s">
        <v>2</v>
      </c>
      <c r="D963" s="1">
        <v>1328</v>
      </c>
      <c r="E963" s="1">
        <v>38653</v>
      </c>
      <c r="F963" s="2">
        <v>50854</v>
      </c>
    </row>
    <row r="964" spans="1:6" x14ac:dyDescent="0.75">
      <c r="A964">
        <v>2023</v>
      </c>
      <c r="B964" t="s">
        <v>55</v>
      </c>
      <c r="C964" t="s">
        <v>3</v>
      </c>
      <c r="D964" s="1">
        <v>2525</v>
      </c>
      <c r="E964" s="1">
        <v>16334</v>
      </c>
      <c r="F964" s="2">
        <v>47616</v>
      </c>
    </row>
    <row r="965" spans="1:6" x14ac:dyDescent="0.75">
      <c r="A965">
        <v>2023</v>
      </c>
      <c r="B965" t="s">
        <v>55</v>
      </c>
      <c r="C965" t="s">
        <v>4</v>
      </c>
      <c r="D965" s="1">
        <v>17605</v>
      </c>
      <c r="E965" s="1">
        <v>443542</v>
      </c>
      <c r="F965" s="2">
        <v>38595</v>
      </c>
    </row>
    <row r="966" spans="1:6" x14ac:dyDescent="0.75">
      <c r="A966">
        <v>2023</v>
      </c>
      <c r="B966" t="s">
        <v>55</v>
      </c>
      <c r="C966" t="s">
        <v>5</v>
      </c>
      <c r="D966" s="1">
        <v>3256</v>
      </c>
      <c r="E966" s="1">
        <v>46357</v>
      </c>
      <c r="F966" s="2">
        <v>88489</v>
      </c>
    </row>
    <row r="967" spans="1:6" x14ac:dyDescent="0.75">
      <c r="A967">
        <v>2023</v>
      </c>
      <c r="B967" t="s">
        <v>55</v>
      </c>
      <c r="C967" t="s">
        <v>6</v>
      </c>
      <c r="D967">
        <v>441</v>
      </c>
      <c r="E967" s="1">
        <v>5272</v>
      </c>
      <c r="F967" s="2">
        <v>40054</v>
      </c>
    </row>
    <row r="968" spans="1:6" x14ac:dyDescent="0.75">
      <c r="A968">
        <v>2023</v>
      </c>
      <c r="B968" t="s">
        <v>55</v>
      </c>
      <c r="C968" t="s">
        <v>7</v>
      </c>
      <c r="D968">
        <v>177</v>
      </c>
      <c r="E968" s="1">
        <v>1535</v>
      </c>
      <c r="F968" s="2">
        <v>39987</v>
      </c>
    </row>
    <row r="969" spans="1:6" x14ac:dyDescent="0.75">
      <c r="A969">
        <v>2023</v>
      </c>
      <c r="B969" t="s">
        <v>55</v>
      </c>
      <c r="C969" t="s">
        <v>8</v>
      </c>
      <c r="D969" s="1">
        <v>5289</v>
      </c>
      <c r="E969" s="1">
        <v>72507</v>
      </c>
      <c r="F969" s="2">
        <v>34681</v>
      </c>
    </row>
    <row r="970" spans="1:6" x14ac:dyDescent="0.75">
      <c r="A970">
        <v>2023</v>
      </c>
      <c r="B970" t="s">
        <v>55</v>
      </c>
      <c r="C970" t="s">
        <v>9</v>
      </c>
      <c r="D970" s="1">
        <v>2630</v>
      </c>
      <c r="E970" s="1">
        <v>29395</v>
      </c>
      <c r="F970" s="2">
        <v>42010</v>
      </c>
    </row>
    <row r="971" spans="1:6" x14ac:dyDescent="0.75">
      <c r="A971">
        <v>2023</v>
      </c>
      <c r="B971" t="s">
        <v>55</v>
      </c>
      <c r="C971" t="s">
        <v>10</v>
      </c>
      <c r="D971" s="1">
        <v>2500</v>
      </c>
      <c r="E971" s="1">
        <v>26636</v>
      </c>
      <c r="F971" s="2">
        <v>39998</v>
      </c>
    </row>
    <row r="972" spans="1:6" x14ac:dyDescent="0.75">
      <c r="A972">
        <v>2023</v>
      </c>
      <c r="B972" t="s">
        <v>55</v>
      </c>
      <c r="C972" t="s">
        <v>11</v>
      </c>
      <c r="D972" s="1">
        <v>2785</v>
      </c>
      <c r="E972" s="1">
        <v>26452</v>
      </c>
      <c r="F972" s="2">
        <v>50101</v>
      </c>
    </row>
    <row r="973" spans="1:6" x14ac:dyDescent="0.75">
      <c r="A973">
        <v>2023</v>
      </c>
      <c r="B973" t="s">
        <v>55</v>
      </c>
      <c r="C973" t="s">
        <v>12</v>
      </c>
      <c r="D973" s="1">
        <v>2217</v>
      </c>
      <c r="E973" s="1">
        <v>21236</v>
      </c>
      <c r="F973" s="2">
        <v>48605</v>
      </c>
    </row>
    <row r="974" spans="1:6" x14ac:dyDescent="0.75">
      <c r="A974">
        <v>2023</v>
      </c>
      <c r="B974" t="s">
        <v>55</v>
      </c>
      <c r="C974" t="s">
        <v>13</v>
      </c>
      <c r="D974" s="1">
        <v>2830</v>
      </c>
      <c r="E974" s="1">
        <v>23077</v>
      </c>
      <c r="F974" s="2">
        <v>42989</v>
      </c>
    </row>
    <row r="975" spans="1:6" x14ac:dyDescent="0.75">
      <c r="A975">
        <v>2023</v>
      </c>
      <c r="B975" t="s">
        <v>55</v>
      </c>
      <c r="C975" t="s">
        <v>14</v>
      </c>
      <c r="D975" s="1">
        <v>2658</v>
      </c>
      <c r="E975" s="1">
        <v>19284</v>
      </c>
      <c r="F975" s="2">
        <v>47004</v>
      </c>
    </row>
    <row r="976" spans="1:6" x14ac:dyDescent="0.75">
      <c r="A976">
        <v>2023</v>
      </c>
      <c r="B976" t="s">
        <v>55</v>
      </c>
      <c r="C976" t="s">
        <v>15</v>
      </c>
      <c r="D976" s="1">
        <v>1559</v>
      </c>
      <c r="E976" s="1">
        <v>18569</v>
      </c>
      <c r="F976" s="2">
        <v>56223</v>
      </c>
    </row>
    <row r="977" spans="1:6" x14ac:dyDescent="0.75">
      <c r="A977">
        <v>2023</v>
      </c>
      <c r="B977" t="s">
        <v>55</v>
      </c>
      <c r="C977" t="s">
        <v>16</v>
      </c>
      <c r="D977" s="1">
        <v>3089</v>
      </c>
      <c r="E977" s="1">
        <v>43598</v>
      </c>
      <c r="F977" s="2">
        <v>84277</v>
      </c>
    </row>
    <row r="978" spans="1:6" x14ac:dyDescent="0.75">
      <c r="A978">
        <v>2023</v>
      </c>
      <c r="B978" t="s">
        <v>55</v>
      </c>
      <c r="C978" t="s">
        <v>17</v>
      </c>
      <c r="D978" s="1">
        <v>1372</v>
      </c>
      <c r="E978" s="1">
        <v>7143</v>
      </c>
      <c r="F978" s="2">
        <v>41187</v>
      </c>
    </row>
    <row r="979" spans="1:6" x14ac:dyDescent="0.75">
      <c r="A979">
        <v>2023</v>
      </c>
      <c r="B979" t="s">
        <v>55</v>
      </c>
      <c r="C979" t="s">
        <v>18</v>
      </c>
      <c r="D979">
        <v>723</v>
      </c>
      <c r="E979" s="1">
        <v>6447</v>
      </c>
      <c r="F979" s="2">
        <v>43100</v>
      </c>
    </row>
    <row r="980" spans="1:6" x14ac:dyDescent="0.75">
      <c r="A980">
        <v>2023</v>
      </c>
      <c r="B980" t="s">
        <v>55</v>
      </c>
      <c r="C980" t="s">
        <v>19</v>
      </c>
      <c r="D980">
        <v>985</v>
      </c>
      <c r="E980" s="1">
        <v>9626</v>
      </c>
      <c r="F980" s="2">
        <v>61244</v>
      </c>
    </row>
    <row r="981" spans="1:6" x14ac:dyDescent="0.75">
      <c r="A981">
        <v>2023</v>
      </c>
      <c r="B981" t="s">
        <v>55</v>
      </c>
      <c r="C981" t="s">
        <v>20</v>
      </c>
      <c r="D981" s="1">
        <v>3282</v>
      </c>
      <c r="E981" s="1">
        <v>35874</v>
      </c>
      <c r="F981" s="2">
        <v>40516</v>
      </c>
    </row>
    <row r="982" spans="1:6" x14ac:dyDescent="0.75">
      <c r="A982">
        <v>2023</v>
      </c>
      <c r="B982" t="s">
        <v>55</v>
      </c>
      <c r="C982" t="s">
        <v>21</v>
      </c>
      <c r="D982" s="1">
        <v>3071</v>
      </c>
      <c r="E982" s="1">
        <v>27642</v>
      </c>
      <c r="F982" s="2">
        <v>50521</v>
      </c>
    </row>
    <row r="983" spans="1:6" x14ac:dyDescent="0.75">
      <c r="A983">
        <v>2023</v>
      </c>
      <c r="B983" t="s">
        <v>55</v>
      </c>
      <c r="C983" t="s">
        <v>22</v>
      </c>
      <c r="D983" s="1">
        <v>2153</v>
      </c>
      <c r="E983" s="1">
        <v>16234</v>
      </c>
      <c r="F983" s="2">
        <v>47028</v>
      </c>
    </row>
    <row r="984" spans="1:6" x14ac:dyDescent="0.75">
      <c r="A984">
        <v>2023</v>
      </c>
      <c r="B984" t="s">
        <v>55</v>
      </c>
      <c r="C984" t="s">
        <v>23</v>
      </c>
      <c r="D984" s="1">
        <v>1935</v>
      </c>
      <c r="E984" s="1">
        <v>16642</v>
      </c>
      <c r="F984" s="2">
        <v>43331</v>
      </c>
    </row>
    <row r="985" spans="1:6" x14ac:dyDescent="0.75">
      <c r="A985">
        <v>2023</v>
      </c>
      <c r="B985" t="s">
        <v>55</v>
      </c>
      <c r="C985" t="s">
        <v>24</v>
      </c>
      <c r="D985" s="1">
        <v>1771</v>
      </c>
      <c r="E985" s="1">
        <v>12503</v>
      </c>
      <c r="F985" s="2">
        <v>67090</v>
      </c>
    </row>
    <row r="986" spans="1:6" x14ac:dyDescent="0.75">
      <c r="A986">
        <v>2023</v>
      </c>
      <c r="B986" t="s">
        <v>55</v>
      </c>
      <c r="C986" t="s">
        <v>25</v>
      </c>
      <c r="D986" s="1">
        <v>2378</v>
      </c>
      <c r="E986" s="1">
        <v>15823</v>
      </c>
      <c r="F986" s="2">
        <v>41084</v>
      </c>
    </row>
    <row r="987" spans="1:6" x14ac:dyDescent="0.75">
      <c r="A987">
        <v>2023</v>
      </c>
      <c r="B987" t="s">
        <v>55</v>
      </c>
      <c r="C987" t="s">
        <v>26</v>
      </c>
      <c r="D987">
        <v>641</v>
      </c>
      <c r="E987" s="1">
        <v>19336</v>
      </c>
      <c r="F987" s="2">
        <v>82872</v>
      </c>
    </row>
    <row r="988" spans="1:6" x14ac:dyDescent="0.75">
      <c r="A988">
        <v>2023</v>
      </c>
      <c r="B988" t="s">
        <v>55</v>
      </c>
      <c r="C988" t="s">
        <v>27</v>
      </c>
      <c r="D988">
        <v>344</v>
      </c>
      <c r="E988" s="1">
        <v>2619</v>
      </c>
      <c r="F988" s="2">
        <v>42081</v>
      </c>
    </row>
    <row r="989" spans="1:6" x14ac:dyDescent="0.75">
      <c r="A989">
        <v>2023</v>
      </c>
      <c r="B989" t="s">
        <v>55</v>
      </c>
      <c r="C989" t="s">
        <v>28</v>
      </c>
      <c r="D989" s="1">
        <v>1003</v>
      </c>
      <c r="E989" s="1">
        <v>12165</v>
      </c>
      <c r="F989" s="2">
        <v>39981</v>
      </c>
    </row>
    <row r="990" spans="1:6" x14ac:dyDescent="0.75">
      <c r="A990">
        <v>2023</v>
      </c>
      <c r="B990" t="s">
        <v>55</v>
      </c>
      <c r="C990" t="s">
        <v>29</v>
      </c>
      <c r="D990" s="1">
        <v>2007</v>
      </c>
      <c r="E990" s="1">
        <v>35856</v>
      </c>
      <c r="F990" s="2">
        <v>64393</v>
      </c>
    </row>
    <row r="991" spans="1:6" x14ac:dyDescent="0.75">
      <c r="A991">
        <v>2023</v>
      </c>
      <c r="B991" t="s">
        <v>55</v>
      </c>
      <c r="C991" t="s">
        <v>30</v>
      </c>
      <c r="D991" s="1">
        <v>3062</v>
      </c>
      <c r="E991" s="1">
        <v>31787</v>
      </c>
      <c r="F991" s="2">
        <v>41230</v>
      </c>
    </row>
    <row r="992" spans="1:6" x14ac:dyDescent="0.75">
      <c r="A992">
        <v>2023</v>
      </c>
      <c r="B992" t="s">
        <v>55</v>
      </c>
      <c r="C992" t="s">
        <v>31</v>
      </c>
      <c r="D992" s="1">
        <v>3330</v>
      </c>
      <c r="E992" s="1">
        <v>30208</v>
      </c>
      <c r="F992" s="2">
        <v>39062</v>
      </c>
    </row>
    <row r="993" spans="1:6" x14ac:dyDescent="0.75">
      <c r="A993">
        <v>2023</v>
      </c>
      <c r="B993" t="s">
        <v>55</v>
      </c>
      <c r="C993" t="s">
        <v>32</v>
      </c>
      <c r="D993" s="1">
        <v>1766</v>
      </c>
      <c r="E993" s="1">
        <v>25422</v>
      </c>
      <c r="F993" s="2">
        <v>95073</v>
      </c>
    </row>
    <row r="994" spans="1:6" x14ac:dyDescent="0.75">
      <c r="A994">
        <v>2023</v>
      </c>
      <c r="B994" t="s">
        <v>55</v>
      </c>
      <c r="C994" t="s">
        <v>33</v>
      </c>
      <c r="D994" s="1">
        <v>2470</v>
      </c>
      <c r="E994" s="1">
        <v>28520</v>
      </c>
      <c r="F994" s="2">
        <v>51145</v>
      </c>
    </row>
    <row r="995" spans="1:6" x14ac:dyDescent="0.75">
      <c r="A995">
        <v>2023</v>
      </c>
      <c r="B995" t="s">
        <v>55</v>
      </c>
      <c r="C995" t="s">
        <v>34</v>
      </c>
      <c r="D995" s="1">
        <v>4348</v>
      </c>
      <c r="E995" s="1">
        <v>64020</v>
      </c>
      <c r="F995" s="2">
        <v>91135</v>
      </c>
    </row>
    <row r="996" spans="1:6" x14ac:dyDescent="0.75">
      <c r="A996">
        <v>2023</v>
      </c>
      <c r="B996" t="s">
        <v>55</v>
      </c>
      <c r="C996" t="s">
        <v>35</v>
      </c>
      <c r="D996" s="1">
        <v>4560</v>
      </c>
      <c r="E996" s="1">
        <v>53530</v>
      </c>
      <c r="F996" s="2">
        <v>37495</v>
      </c>
    </row>
    <row r="997" spans="1:6" x14ac:dyDescent="0.75">
      <c r="A997">
        <v>2023</v>
      </c>
      <c r="B997" t="s">
        <v>55</v>
      </c>
      <c r="C997" t="s">
        <v>36</v>
      </c>
      <c r="D997" s="1">
        <v>3585</v>
      </c>
      <c r="E997" s="1">
        <v>52523</v>
      </c>
      <c r="F997" s="2">
        <v>62951</v>
      </c>
    </row>
    <row r="998" spans="1:6" x14ac:dyDescent="0.75">
      <c r="A998">
        <v>2023</v>
      </c>
      <c r="B998" t="s">
        <v>55</v>
      </c>
      <c r="C998" t="s">
        <v>37</v>
      </c>
      <c r="D998">
        <v>194</v>
      </c>
      <c r="E998" s="1">
        <v>1056</v>
      </c>
      <c r="F998" s="2">
        <v>39071</v>
      </c>
    </row>
    <row r="999" spans="1:6" x14ac:dyDescent="0.75">
      <c r="A999">
        <v>2023</v>
      </c>
      <c r="B999" t="s">
        <v>55</v>
      </c>
      <c r="C999" t="s">
        <v>38</v>
      </c>
      <c r="D999" s="1">
        <v>1286</v>
      </c>
      <c r="E999" s="1">
        <v>12662</v>
      </c>
      <c r="F999" s="2">
        <v>40536</v>
      </c>
    </row>
    <row r="1000" spans="1:6" x14ac:dyDescent="0.75">
      <c r="A1000">
        <v>2023</v>
      </c>
      <c r="B1000" t="s">
        <v>55</v>
      </c>
      <c r="C1000" t="s">
        <v>39</v>
      </c>
      <c r="D1000" s="1">
        <v>1047</v>
      </c>
      <c r="E1000" s="1">
        <v>6831</v>
      </c>
      <c r="F1000" s="2">
        <v>42904</v>
      </c>
    </row>
    <row r="1001" spans="1:6" x14ac:dyDescent="0.75">
      <c r="A1001">
        <v>2023</v>
      </c>
      <c r="B1001" t="s">
        <v>55</v>
      </c>
      <c r="C1001" t="s">
        <v>40</v>
      </c>
      <c r="D1001" s="1">
        <v>1099</v>
      </c>
      <c r="E1001" s="1">
        <v>11051</v>
      </c>
      <c r="F1001" s="2">
        <v>46634</v>
      </c>
    </row>
    <row r="1002" spans="1:6" x14ac:dyDescent="0.75">
      <c r="A1002">
        <v>2023</v>
      </c>
      <c r="B1002" t="s">
        <v>55</v>
      </c>
      <c r="C1002" t="s">
        <v>41</v>
      </c>
      <c r="D1002" s="1">
        <v>19761</v>
      </c>
      <c r="E1002" s="1">
        <v>304275</v>
      </c>
      <c r="F1002" s="2">
        <v>109449</v>
      </c>
    </row>
    <row r="1003" spans="1:6" x14ac:dyDescent="0.75">
      <c r="A1003">
        <v>2023</v>
      </c>
      <c r="B1003" t="s">
        <v>55</v>
      </c>
      <c r="C1003" t="s">
        <v>42</v>
      </c>
      <c r="D1003" s="1">
        <v>1002</v>
      </c>
      <c r="E1003" s="1">
        <v>15159</v>
      </c>
      <c r="F1003" s="2">
        <v>61171</v>
      </c>
    </row>
    <row r="1004" spans="1:6" x14ac:dyDescent="0.75">
      <c r="A1004">
        <v>2023</v>
      </c>
      <c r="B1004" t="s">
        <v>55</v>
      </c>
      <c r="C1004" t="s">
        <v>43</v>
      </c>
      <c r="D1004">
        <v>548</v>
      </c>
      <c r="E1004" s="1">
        <v>3930</v>
      </c>
      <c r="F1004" s="2">
        <v>38605</v>
      </c>
    </row>
    <row r="1005" spans="1:6" x14ac:dyDescent="0.75">
      <c r="A1005">
        <v>2023</v>
      </c>
      <c r="B1005" t="s">
        <v>55</v>
      </c>
      <c r="C1005" t="s">
        <v>44</v>
      </c>
      <c r="D1005" s="1">
        <v>2101</v>
      </c>
      <c r="E1005" s="1">
        <v>19281</v>
      </c>
      <c r="F1005" s="2">
        <v>47043</v>
      </c>
    </row>
    <row r="1006" spans="1:6" x14ac:dyDescent="0.75">
      <c r="A1006">
        <v>2023</v>
      </c>
      <c r="B1006" t="s">
        <v>55</v>
      </c>
      <c r="C1006" t="s">
        <v>45</v>
      </c>
      <c r="D1006" s="1">
        <v>7317</v>
      </c>
      <c r="E1006" s="1">
        <v>109210</v>
      </c>
      <c r="F1006" s="2">
        <v>33346</v>
      </c>
    </row>
    <row r="1007" spans="1:6" x14ac:dyDescent="0.75">
      <c r="A1007">
        <v>2023</v>
      </c>
      <c r="B1007" t="s">
        <v>55</v>
      </c>
      <c r="C1007" t="s">
        <v>46</v>
      </c>
      <c r="D1007" s="1">
        <v>1199</v>
      </c>
      <c r="E1007" s="1">
        <v>23481</v>
      </c>
      <c r="F1007" s="2">
        <v>80012</v>
      </c>
    </row>
    <row r="1008" spans="1:6" x14ac:dyDescent="0.75">
      <c r="A1008">
        <v>2023</v>
      </c>
      <c r="B1008" t="s">
        <v>55</v>
      </c>
      <c r="C1008" t="s">
        <v>47</v>
      </c>
      <c r="D1008" s="1">
        <v>2926</v>
      </c>
      <c r="E1008" s="1">
        <v>32257</v>
      </c>
      <c r="F1008" s="2">
        <v>39437</v>
      </c>
    </row>
    <row r="1009" spans="1:6" x14ac:dyDescent="0.75">
      <c r="A1009">
        <v>2023</v>
      </c>
      <c r="B1009" t="s">
        <v>55</v>
      </c>
      <c r="C1009" t="s">
        <v>48</v>
      </c>
      <c r="D1009" s="1">
        <v>1438</v>
      </c>
      <c r="E1009" s="1">
        <v>23488</v>
      </c>
      <c r="F1009" s="2">
        <v>83751</v>
      </c>
    </row>
    <row r="1010" spans="1:6" x14ac:dyDescent="0.75">
      <c r="A1010">
        <v>2023</v>
      </c>
      <c r="B1010" t="s">
        <v>51</v>
      </c>
      <c r="C1010" t="s">
        <v>1</v>
      </c>
      <c r="D1010" s="1">
        <v>9897</v>
      </c>
      <c r="E1010" s="1">
        <v>89207</v>
      </c>
      <c r="F1010" s="2">
        <v>53957</v>
      </c>
    </row>
    <row r="1011" spans="1:6" x14ac:dyDescent="0.75">
      <c r="A1011">
        <v>2023</v>
      </c>
      <c r="B1011" t="s">
        <v>51</v>
      </c>
      <c r="C1011" t="s">
        <v>2</v>
      </c>
      <c r="D1011" s="1">
        <v>12867</v>
      </c>
      <c r="E1011" s="1">
        <v>158251</v>
      </c>
      <c r="F1011" s="2">
        <v>55989</v>
      </c>
    </row>
    <row r="1012" spans="1:6" x14ac:dyDescent="0.75">
      <c r="A1012">
        <v>2023</v>
      </c>
      <c r="B1012" t="s">
        <v>51</v>
      </c>
      <c r="C1012" t="s">
        <v>3</v>
      </c>
      <c r="D1012" s="1">
        <v>6945</v>
      </c>
      <c r="E1012" s="1">
        <v>50848</v>
      </c>
      <c r="F1012" s="2">
        <v>47988</v>
      </c>
    </row>
    <row r="1013" spans="1:6" x14ac:dyDescent="0.75">
      <c r="A1013">
        <v>2023</v>
      </c>
      <c r="B1013" t="s">
        <v>51</v>
      </c>
      <c r="C1013" t="s">
        <v>4</v>
      </c>
      <c r="D1013" s="1">
        <v>80657</v>
      </c>
      <c r="E1013" s="1">
        <v>860278</v>
      </c>
      <c r="F1013" s="2">
        <v>70084</v>
      </c>
    </row>
    <row r="1014" spans="1:6" x14ac:dyDescent="0.75">
      <c r="A1014">
        <v>2023</v>
      </c>
      <c r="B1014" t="s">
        <v>51</v>
      </c>
      <c r="C1014" t="s">
        <v>5</v>
      </c>
      <c r="D1014" s="1">
        <v>19884</v>
      </c>
      <c r="E1014" s="1">
        <v>173096</v>
      </c>
      <c r="F1014" s="2">
        <v>62414</v>
      </c>
    </row>
    <row r="1015" spans="1:6" x14ac:dyDescent="0.75">
      <c r="A1015">
        <v>2023</v>
      </c>
      <c r="B1015" t="s">
        <v>51</v>
      </c>
      <c r="C1015" t="s">
        <v>6</v>
      </c>
      <c r="D1015" s="1">
        <v>9399</v>
      </c>
      <c r="E1015" s="1">
        <v>58769</v>
      </c>
      <c r="F1015" s="2">
        <v>69727</v>
      </c>
    </row>
    <row r="1016" spans="1:6" x14ac:dyDescent="0.75">
      <c r="A1016">
        <v>2023</v>
      </c>
      <c r="B1016" t="s">
        <v>51</v>
      </c>
      <c r="C1016" t="s">
        <v>7</v>
      </c>
      <c r="D1016" s="1">
        <v>2871</v>
      </c>
      <c r="E1016" s="1">
        <v>22192</v>
      </c>
      <c r="F1016" s="2">
        <v>59797</v>
      </c>
    </row>
    <row r="1017" spans="1:6" x14ac:dyDescent="0.75">
      <c r="A1017">
        <v>2023</v>
      </c>
      <c r="B1017" t="s">
        <v>51</v>
      </c>
      <c r="C1017" t="s">
        <v>8</v>
      </c>
      <c r="D1017" s="1">
        <v>70819</v>
      </c>
      <c r="E1017" s="1">
        <v>541083</v>
      </c>
      <c r="F1017" s="2">
        <v>51286</v>
      </c>
    </row>
    <row r="1018" spans="1:6" x14ac:dyDescent="0.75">
      <c r="A1018">
        <v>2023</v>
      </c>
      <c r="B1018" t="s">
        <v>51</v>
      </c>
      <c r="C1018" t="s">
        <v>9</v>
      </c>
      <c r="D1018" s="1">
        <v>20577</v>
      </c>
      <c r="E1018" s="1">
        <v>195221</v>
      </c>
      <c r="F1018" s="2">
        <v>61018</v>
      </c>
    </row>
    <row r="1019" spans="1:6" x14ac:dyDescent="0.75">
      <c r="A1019">
        <v>2023</v>
      </c>
      <c r="B1019" t="s">
        <v>51</v>
      </c>
      <c r="C1019" t="s">
        <v>10</v>
      </c>
      <c r="D1019" s="1">
        <v>8174</v>
      </c>
      <c r="E1019" s="1">
        <v>46827</v>
      </c>
      <c r="F1019" s="2">
        <v>44285</v>
      </c>
    </row>
    <row r="1020" spans="1:6" x14ac:dyDescent="0.75">
      <c r="A1020">
        <v>2023</v>
      </c>
      <c r="B1020" t="s">
        <v>51</v>
      </c>
      <c r="C1020" t="s">
        <v>11</v>
      </c>
      <c r="D1020" s="1">
        <v>32305</v>
      </c>
      <c r="E1020" s="1">
        <v>225991</v>
      </c>
      <c r="F1020" s="2">
        <v>71957</v>
      </c>
    </row>
    <row r="1021" spans="1:6" x14ac:dyDescent="0.75">
      <c r="A1021">
        <v>2023</v>
      </c>
      <c r="B1021" t="s">
        <v>51</v>
      </c>
      <c r="C1021" t="s">
        <v>12</v>
      </c>
      <c r="D1021" s="1">
        <v>15176</v>
      </c>
      <c r="E1021" s="1">
        <v>141028</v>
      </c>
      <c r="F1021" s="2">
        <v>58404</v>
      </c>
    </row>
    <row r="1022" spans="1:6" x14ac:dyDescent="0.75">
      <c r="A1022">
        <v>2023</v>
      </c>
      <c r="B1022" t="s">
        <v>51</v>
      </c>
      <c r="C1022" t="s">
        <v>13</v>
      </c>
      <c r="D1022" s="1">
        <v>9447</v>
      </c>
      <c r="E1022" s="1">
        <v>77230</v>
      </c>
      <c r="F1022" s="2">
        <v>57435</v>
      </c>
    </row>
    <row r="1023" spans="1:6" x14ac:dyDescent="0.75">
      <c r="A1023">
        <v>2023</v>
      </c>
      <c r="B1023" t="s">
        <v>51</v>
      </c>
      <c r="C1023" t="s">
        <v>14</v>
      </c>
      <c r="D1023" s="1">
        <v>7555</v>
      </c>
      <c r="E1023" s="1">
        <v>61206</v>
      </c>
      <c r="F1023" s="2">
        <v>54735</v>
      </c>
    </row>
    <row r="1024" spans="1:6" x14ac:dyDescent="0.75">
      <c r="A1024">
        <v>2023</v>
      </c>
      <c r="B1024" t="s">
        <v>51</v>
      </c>
      <c r="C1024" t="s">
        <v>15</v>
      </c>
      <c r="D1024" s="1">
        <v>9466</v>
      </c>
      <c r="E1024" s="1">
        <v>77934</v>
      </c>
      <c r="F1024" s="2">
        <v>53957</v>
      </c>
    </row>
    <row r="1025" spans="1:6" x14ac:dyDescent="0.75">
      <c r="A1025">
        <v>2023</v>
      </c>
      <c r="B1025" t="s">
        <v>51</v>
      </c>
      <c r="C1025" t="s">
        <v>16</v>
      </c>
      <c r="D1025" s="1">
        <v>10844</v>
      </c>
      <c r="E1025" s="1">
        <v>151993</v>
      </c>
      <c r="F1025" s="2">
        <v>63892</v>
      </c>
    </row>
    <row r="1026" spans="1:6" x14ac:dyDescent="0.75">
      <c r="A1026">
        <v>2023</v>
      </c>
      <c r="B1026" t="s">
        <v>51</v>
      </c>
      <c r="C1026" t="s">
        <v>17</v>
      </c>
      <c r="D1026" s="1">
        <v>5475</v>
      </c>
      <c r="E1026" s="1">
        <v>29285</v>
      </c>
      <c r="F1026" s="2">
        <v>49575</v>
      </c>
    </row>
    <row r="1027" spans="1:6" x14ac:dyDescent="0.75">
      <c r="A1027">
        <v>2023</v>
      </c>
      <c r="B1027" t="s">
        <v>51</v>
      </c>
      <c r="C1027" t="s">
        <v>18</v>
      </c>
      <c r="D1027" s="1">
        <v>16487</v>
      </c>
      <c r="E1027" s="1">
        <v>163210</v>
      </c>
      <c r="F1027" s="2">
        <v>65971</v>
      </c>
    </row>
    <row r="1028" spans="1:6" x14ac:dyDescent="0.75">
      <c r="A1028">
        <v>2023</v>
      </c>
      <c r="B1028" t="s">
        <v>51</v>
      </c>
      <c r="C1028" t="s">
        <v>19</v>
      </c>
      <c r="D1028" s="1">
        <v>21120</v>
      </c>
      <c r="E1028" s="1">
        <v>158656</v>
      </c>
      <c r="F1028" s="2">
        <v>78802</v>
      </c>
    </row>
    <row r="1029" spans="1:6" x14ac:dyDescent="0.75">
      <c r="A1029">
        <v>2023</v>
      </c>
      <c r="B1029" t="s">
        <v>51</v>
      </c>
      <c r="C1029" t="s">
        <v>20</v>
      </c>
      <c r="D1029" s="1">
        <v>19952</v>
      </c>
      <c r="E1029" s="1">
        <v>168632</v>
      </c>
      <c r="F1029" s="2">
        <v>62378</v>
      </c>
    </row>
    <row r="1030" spans="1:6" x14ac:dyDescent="0.75">
      <c r="A1030">
        <v>2023</v>
      </c>
      <c r="B1030" t="s">
        <v>51</v>
      </c>
      <c r="C1030" t="s">
        <v>21</v>
      </c>
      <c r="D1030" s="1">
        <v>16480</v>
      </c>
      <c r="E1030" s="1">
        <v>121665</v>
      </c>
      <c r="F1030" s="2">
        <v>67248</v>
      </c>
    </row>
    <row r="1031" spans="1:6" x14ac:dyDescent="0.75">
      <c r="A1031">
        <v>2023</v>
      </c>
      <c r="B1031" t="s">
        <v>51</v>
      </c>
      <c r="C1031" t="s">
        <v>22</v>
      </c>
      <c r="D1031" s="1">
        <v>5760</v>
      </c>
      <c r="E1031" s="1">
        <v>43911</v>
      </c>
      <c r="F1031" s="2">
        <v>50325</v>
      </c>
    </row>
    <row r="1032" spans="1:6" x14ac:dyDescent="0.75">
      <c r="A1032">
        <v>2023</v>
      </c>
      <c r="B1032" t="s">
        <v>51</v>
      </c>
      <c r="C1032" t="s">
        <v>23</v>
      </c>
      <c r="D1032" s="1">
        <v>14591</v>
      </c>
      <c r="E1032" s="1">
        <v>122662</v>
      </c>
      <c r="F1032" s="2">
        <v>59442</v>
      </c>
    </row>
    <row r="1033" spans="1:6" x14ac:dyDescent="0.75">
      <c r="A1033">
        <v>2023</v>
      </c>
      <c r="B1033" t="s">
        <v>51</v>
      </c>
      <c r="C1033" t="s">
        <v>24</v>
      </c>
      <c r="D1033" s="1">
        <v>6514</v>
      </c>
      <c r="E1033" s="1">
        <v>29077</v>
      </c>
      <c r="F1033" s="2">
        <v>52969</v>
      </c>
    </row>
    <row r="1034" spans="1:6" x14ac:dyDescent="0.75">
      <c r="A1034">
        <v>2023</v>
      </c>
      <c r="B1034" t="s">
        <v>51</v>
      </c>
      <c r="C1034" t="s">
        <v>25</v>
      </c>
      <c r="D1034" s="1">
        <v>7068</v>
      </c>
      <c r="E1034" s="1">
        <v>52320</v>
      </c>
      <c r="F1034" s="2">
        <v>51657</v>
      </c>
    </row>
    <row r="1035" spans="1:6" x14ac:dyDescent="0.75">
      <c r="A1035">
        <v>2023</v>
      </c>
      <c r="B1035" t="s">
        <v>51</v>
      </c>
      <c r="C1035" t="s">
        <v>26</v>
      </c>
      <c r="D1035" s="1">
        <v>5898</v>
      </c>
      <c r="E1035" s="1">
        <v>89125</v>
      </c>
      <c r="F1035" s="2">
        <v>61123</v>
      </c>
    </row>
    <row r="1036" spans="1:6" x14ac:dyDescent="0.75">
      <c r="A1036">
        <v>2023</v>
      </c>
      <c r="B1036" t="s">
        <v>51</v>
      </c>
      <c r="C1036" t="s">
        <v>27</v>
      </c>
      <c r="D1036" s="1">
        <v>4498</v>
      </c>
      <c r="E1036" s="1">
        <v>26890</v>
      </c>
      <c r="F1036" s="2">
        <v>62661</v>
      </c>
    </row>
    <row r="1037" spans="1:6" x14ac:dyDescent="0.75">
      <c r="A1037">
        <v>2023</v>
      </c>
      <c r="B1037" t="s">
        <v>51</v>
      </c>
      <c r="C1037" t="s">
        <v>28</v>
      </c>
      <c r="D1037" s="1">
        <v>22416</v>
      </c>
      <c r="E1037" s="1">
        <v>157147</v>
      </c>
      <c r="F1037" s="2">
        <v>72658</v>
      </c>
    </row>
    <row r="1038" spans="1:6" x14ac:dyDescent="0.75">
      <c r="A1038">
        <v>2023</v>
      </c>
      <c r="B1038" t="s">
        <v>51</v>
      </c>
      <c r="C1038" t="s">
        <v>29</v>
      </c>
      <c r="D1038" s="1">
        <v>5337</v>
      </c>
      <c r="E1038" s="1">
        <v>47224</v>
      </c>
      <c r="F1038" s="2">
        <v>49350</v>
      </c>
    </row>
    <row r="1039" spans="1:6" x14ac:dyDescent="0.75">
      <c r="A1039">
        <v>2023</v>
      </c>
      <c r="B1039" t="s">
        <v>51</v>
      </c>
      <c r="C1039" t="s">
        <v>30</v>
      </c>
      <c r="D1039" s="1">
        <v>50281</v>
      </c>
      <c r="E1039" s="1">
        <v>399629</v>
      </c>
      <c r="F1039" s="2">
        <v>73248</v>
      </c>
    </row>
    <row r="1040" spans="1:6" x14ac:dyDescent="0.75">
      <c r="A1040">
        <v>2023</v>
      </c>
      <c r="B1040" t="s">
        <v>51</v>
      </c>
      <c r="C1040" t="s">
        <v>31</v>
      </c>
      <c r="D1040" s="1">
        <v>26741</v>
      </c>
      <c r="E1040" s="1">
        <v>220692</v>
      </c>
      <c r="F1040" s="2">
        <v>54587</v>
      </c>
    </row>
    <row r="1041" spans="1:6" x14ac:dyDescent="0.75">
      <c r="A1041">
        <v>2023</v>
      </c>
      <c r="B1041" t="s">
        <v>51</v>
      </c>
      <c r="C1041" t="s">
        <v>32</v>
      </c>
      <c r="D1041" s="1">
        <v>3798</v>
      </c>
      <c r="E1041" s="1">
        <v>26002</v>
      </c>
      <c r="F1041" s="2">
        <v>64586</v>
      </c>
    </row>
    <row r="1042" spans="1:6" x14ac:dyDescent="0.75">
      <c r="A1042">
        <v>2023</v>
      </c>
      <c r="B1042" t="s">
        <v>51</v>
      </c>
      <c r="C1042" t="s">
        <v>33</v>
      </c>
      <c r="D1042" s="1">
        <v>23076</v>
      </c>
      <c r="E1042" s="1">
        <v>220709</v>
      </c>
      <c r="F1042" s="2">
        <v>61194</v>
      </c>
    </row>
    <row r="1043" spans="1:6" x14ac:dyDescent="0.75">
      <c r="A1043">
        <v>2023</v>
      </c>
      <c r="B1043" t="s">
        <v>51</v>
      </c>
      <c r="C1043" t="s">
        <v>34</v>
      </c>
      <c r="D1043" s="1">
        <v>9765</v>
      </c>
      <c r="E1043" s="1">
        <v>80295</v>
      </c>
      <c r="F1043" s="2">
        <v>52777</v>
      </c>
    </row>
    <row r="1044" spans="1:6" x14ac:dyDescent="0.75">
      <c r="A1044">
        <v>2023</v>
      </c>
      <c r="B1044" t="s">
        <v>51</v>
      </c>
      <c r="C1044" t="s">
        <v>35</v>
      </c>
      <c r="D1044" s="1">
        <v>14244</v>
      </c>
      <c r="E1044" s="1">
        <v>104561</v>
      </c>
      <c r="F1044" s="2">
        <v>60523</v>
      </c>
    </row>
    <row r="1045" spans="1:6" x14ac:dyDescent="0.75">
      <c r="A1045">
        <v>2023</v>
      </c>
      <c r="B1045" t="s">
        <v>51</v>
      </c>
      <c r="C1045" t="s">
        <v>36</v>
      </c>
      <c r="D1045" s="1">
        <v>28749</v>
      </c>
      <c r="E1045" s="1">
        <v>255910</v>
      </c>
      <c r="F1045" s="2">
        <v>66852</v>
      </c>
    </row>
    <row r="1046" spans="1:6" x14ac:dyDescent="0.75">
      <c r="A1046">
        <v>2023</v>
      </c>
      <c r="B1046" t="s">
        <v>51</v>
      </c>
      <c r="C1046" t="s">
        <v>37</v>
      </c>
      <c r="D1046" s="1">
        <v>3743</v>
      </c>
      <c r="E1046" s="1">
        <v>19229</v>
      </c>
      <c r="F1046" s="2">
        <v>61579</v>
      </c>
    </row>
    <row r="1047" spans="1:6" x14ac:dyDescent="0.75">
      <c r="A1047">
        <v>2023</v>
      </c>
      <c r="B1047" t="s">
        <v>51</v>
      </c>
      <c r="C1047" t="s">
        <v>38</v>
      </c>
      <c r="D1047" s="1">
        <v>12124</v>
      </c>
      <c r="E1047" s="1">
        <v>104324</v>
      </c>
      <c r="F1047" s="2">
        <v>52634</v>
      </c>
    </row>
    <row r="1048" spans="1:6" x14ac:dyDescent="0.75">
      <c r="A1048">
        <v>2023</v>
      </c>
      <c r="B1048" t="s">
        <v>51</v>
      </c>
      <c r="C1048" t="s">
        <v>39</v>
      </c>
      <c r="D1048" s="1">
        <v>3884</v>
      </c>
      <c r="E1048" s="1">
        <v>22971</v>
      </c>
      <c r="F1048" s="2">
        <v>48981</v>
      </c>
    </row>
    <row r="1049" spans="1:6" x14ac:dyDescent="0.75">
      <c r="A1049">
        <v>2023</v>
      </c>
      <c r="B1049" t="s">
        <v>51</v>
      </c>
      <c r="C1049" t="s">
        <v>40</v>
      </c>
      <c r="D1049" s="1">
        <v>12110</v>
      </c>
      <c r="E1049" s="1">
        <v>124488</v>
      </c>
      <c r="F1049" s="2">
        <v>57033</v>
      </c>
    </row>
    <row r="1050" spans="1:6" x14ac:dyDescent="0.75">
      <c r="A1050">
        <v>2023</v>
      </c>
      <c r="B1050" t="s">
        <v>51</v>
      </c>
      <c r="C1050" t="s">
        <v>41</v>
      </c>
      <c r="D1050" s="1">
        <v>51405</v>
      </c>
      <c r="E1050" s="1">
        <v>739156</v>
      </c>
      <c r="F1050" s="2">
        <v>65554</v>
      </c>
    </row>
    <row r="1051" spans="1:6" x14ac:dyDescent="0.75">
      <c r="A1051">
        <v>2023</v>
      </c>
      <c r="B1051" t="s">
        <v>51</v>
      </c>
      <c r="C1051" t="s">
        <v>42</v>
      </c>
      <c r="D1051" s="1">
        <v>11572</v>
      </c>
      <c r="E1051" s="1">
        <v>104339</v>
      </c>
      <c r="F1051" s="2">
        <v>51052</v>
      </c>
    </row>
    <row r="1052" spans="1:6" x14ac:dyDescent="0.75">
      <c r="A1052">
        <v>2023</v>
      </c>
      <c r="B1052" t="s">
        <v>51</v>
      </c>
      <c r="C1052" t="s">
        <v>43</v>
      </c>
      <c r="D1052" s="1">
        <v>2878</v>
      </c>
      <c r="E1052" s="1">
        <v>15262</v>
      </c>
      <c r="F1052" s="2">
        <v>51025</v>
      </c>
    </row>
    <row r="1053" spans="1:6" x14ac:dyDescent="0.75">
      <c r="A1053">
        <v>2023</v>
      </c>
      <c r="B1053" t="s">
        <v>51</v>
      </c>
      <c r="C1053" t="s">
        <v>44</v>
      </c>
      <c r="D1053" s="1">
        <v>21508</v>
      </c>
      <c r="E1053" s="1">
        <v>197292</v>
      </c>
      <c r="F1053" s="2">
        <v>58050</v>
      </c>
    </row>
    <row r="1054" spans="1:6" x14ac:dyDescent="0.75">
      <c r="A1054">
        <v>2023</v>
      </c>
      <c r="B1054" t="s">
        <v>51</v>
      </c>
      <c r="C1054" t="s">
        <v>45</v>
      </c>
      <c r="D1054" s="1">
        <v>26015</v>
      </c>
      <c r="E1054" s="1">
        <v>199867</v>
      </c>
      <c r="F1054" s="2">
        <v>64432</v>
      </c>
    </row>
    <row r="1055" spans="1:6" x14ac:dyDescent="0.75">
      <c r="A1055">
        <v>2023</v>
      </c>
      <c r="B1055" t="s">
        <v>51</v>
      </c>
      <c r="C1055" t="s">
        <v>46</v>
      </c>
      <c r="D1055" s="1">
        <v>4435</v>
      </c>
      <c r="E1055" s="1">
        <v>40126</v>
      </c>
      <c r="F1055" s="2">
        <v>72255</v>
      </c>
    </row>
    <row r="1056" spans="1:6" x14ac:dyDescent="0.75">
      <c r="A1056">
        <v>2023</v>
      </c>
      <c r="B1056" t="s">
        <v>51</v>
      </c>
      <c r="C1056" t="s">
        <v>47</v>
      </c>
      <c r="D1056" s="1">
        <v>14814</v>
      </c>
      <c r="E1056" s="1">
        <v>122396</v>
      </c>
      <c r="F1056" s="2">
        <v>62063</v>
      </c>
    </row>
    <row r="1057" spans="1:6" x14ac:dyDescent="0.75">
      <c r="A1057">
        <v>2023</v>
      </c>
      <c r="B1057" t="s">
        <v>51</v>
      </c>
      <c r="C1057" t="s">
        <v>48</v>
      </c>
      <c r="D1057" s="1">
        <v>3375</v>
      </c>
      <c r="E1057" s="1">
        <v>20253</v>
      </c>
      <c r="F1057" s="2">
        <v>53554</v>
      </c>
    </row>
    <row r="1058" spans="1:6" x14ac:dyDescent="0.75">
      <c r="A1058">
        <v>2023</v>
      </c>
      <c r="B1058" t="s">
        <v>52</v>
      </c>
      <c r="C1058" t="s">
        <v>1</v>
      </c>
      <c r="D1058" s="1">
        <v>5566</v>
      </c>
      <c r="E1058" s="1">
        <v>266798</v>
      </c>
      <c r="F1058" s="2">
        <v>57068</v>
      </c>
    </row>
    <row r="1059" spans="1:6" x14ac:dyDescent="0.75">
      <c r="A1059">
        <v>2023</v>
      </c>
      <c r="B1059" t="s">
        <v>52</v>
      </c>
      <c r="C1059" t="s">
        <v>2</v>
      </c>
      <c r="D1059" s="1">
        <v>4926</v>
      </c>
      <c r="E1059" s="1">
        <v>169675</v>
      </c>
      <c r="F1059" s="2">
        <v>76139</v>
      </c>
    </row>
    <row r="1060" spans="1:6" x14ac:dyDescent="0.75">
      <c r="A1060">
        <v>2023</v>
      </c>
      <c r="B1060" t="s">
        <v>52</v>
      </c>
      <c r="C1060" t="s">
        <v>3</v>
      </c>
      <c r="D1060" s="1">
        <v>2918</v>
      </c>
      <c r="E1060" s="1">
        <v>160597</v>
      </c>
      <c r="F1060" s="2">
        <v>47984</v>
      </c>
    </row>
    <row r="1061" spans="1:6" x14ac:dyDescent="0.75">
      <c r="A1061">
        <v>2023</v>
      </c>
      <c r="B1061" t="s">
        <v>52</v>
      </c>
      <c r="C1061" t="s">
        <v>4</v>
      </c>
      <c r="D1061" s="1">
        <v>44706</v>
      </c>
      <c r="E1061" s="1">
        <v>1320068</v>
      </c>
      <c r="F1061" s="2">
        <v>95627</v>
      </c>
    </row>
    <row r="1062" spans="1:6" x14ac:dyDescent="0.75">
      <c r="A1062">
        <v>2023</v>
      </c>
      <c r="B1062" t="s">
        <v>52</v>
      </c>
      <c r="C1062" t="s">
        <v>5</v>
      </c>
      <c r="D1062" s="1">
        <v>5804</v>
      </c>
      <c r="E1062" s="1">
        <v>147285</v>
      </c>
      <c r="F1062" s="2">
        <v>70677</v>
      </c>
    </row>
    <row r="1063" spans="1:6" x14ac:dyDescent="0.75">
      <c r="A1063">
        <v>2023</v>
      </c>
      <c r="B1063" t="s">
        <v>52</v>
      </c>
      <c r="C1063" t="s">
        <v>6</v>
      </c>
      <c r="D1063" s="1">
        <v>4408</v>
      </c>
      <c r="E1063" s="1">
        <v>160500</v>
      </c>
      <c r="F1063" s="2">
        <v>82569</v>
      </c>
    </row>
    <row r="1064" spans="1:6" x14ac:dyDescent="0.75">
      <c r="A1064">
        <v>2023</v>
      </c>
      <c r="B1064" t="s">
        <v>52</v>
      </c>
      <c r="C1064" t="s">
        <v>7</v>
      </c>
      <c r="D1064">
        <v>661</v>
      </c>
      <c r="E1064" s="1">
        <v>27077</v>
      </c>
      <c r="F1064" s="2">
        <v>64153</v>
      </c>
    </row>
    <row r="1065" spans="1:6" x14ac:dyDescent="0.75">
      <c r="A1065">
        <v>2023</v>
      </c>
      <c r="B1065" t="s">
        <v>52</v>
      </c>
      <c r="C1065" t="s">
        <v>8</v>
      </c>
      <c r="D1065" s="1">
        <v>20548</v>
      </c>
      <c r="E1065" s="1">
        <v>371590</v>
      </c>
      <c r="F1065" s="2">
        <v>61740</v>
      </c>
    </row>
    <row r="1066" spans="1:6" x14ac:dyDescent="0.75">
      <c r="A1066">
        <v>2023</v>
      </c>
      <c r="B1066" t="s">
        <v>52</v>
      </c>
      <c r="C1066" t="s">
        <v>9</v>
      </c>
      <c r="D1066" s="1">
        <v>9884</v>
      </c>
      <c r="E1066" s="1">
        <v>406818</v>
      </c>
      <c r="F1066" s="2">
        <v>59168</v>
      </c>
    </row>
    <row r="1067" spans="1:6" x14ac:dyDescent="0.75">
      <c r="A1067">
        <v>2023</v>
      </c>
      <c r="B1067" t="s">
        <v>52</v>
      </c>
      <c r="C1067" t="s">
        <v>10</v>
      </c>
      <c r="D1067" s="1">
        <v>2807</v>
      </c>
      <c r="E1067" s="1">
        <v>67792</v>
      </c>
      <c r="F1067" s="2">
        <v>63932</v>
      </c>
    </row>
    <row r="1068" spans="1:6" x14ac:dyDescent="0.75">
      <c r="A1068">
        <v>2023</v>
      </c>
      <c r="B1068" t="s">
        <v>52</v>
      </c>
      <c r="C1068" t="s">
        <v>11</v>
      </c>
      <c r="D1068" s="1">
        <v>17883</v>
      </c>
      <c r="E1068" s="1">
        <v>586130</v>
      </c>
      <c r="F1068" s="2">
        <v>71895</v>
      </c>
    </row>
    <row r="1069" spans="1:6" x14ac:dyDescent="0.75">
      <c r="A1069">
        <v>2023</v>
      </c>
      <c r="B1069" t="s">
        <v>52</v>
      </c>
      <c r="C1069" t="s">
        <v>12</v>
      </c>
      <c r="D1069" s="1">
        <v>8825</v>
      </c>
      <c r="E1069" s="1">
        <v>541836</v>
      </c>
      <c r="F1069" s="2">
        <v>62680</v>
      </c>
    </row>
    <row r="1070" spans="1:6" x14ac:dyDescent="0.75">
      <c r="A1070">
        <v>2023</v>
      </c>
      <c r="B1070" t="s">
        <v>52</v>
      </c>
      <c r="C1070" t="s">
        <v>13</v>
      </c>
      <c r="D1070" s="1">
        <v>4142</v>
      </c>
      <c r="E1070" s="1">
        <v>222586</v>
      </c>
      <c r="F1070" s="2">
        <v>60257</v>
      </c>
    </row>
    <row r="1071" spans="1:6" x14ac:dyDescent="0.75">
      <c r="A1071">
        <v>2023</v>
      </c>
      <c r="B1071" t="s">
        <v>52</v>
      </c>
      <c r="C1071" t="s">
        <v>14</v>
      </c>
      <c r="D1071" s="1">
        <v>3143</v>
      </c>
      <c r="E1071" s="1">
        <v>165056</v>
      </c>
      <c r="F1071" s="2">
        <v>59206</v>
      </c>
    </row>
    <row r="1072" spans="1:6" x14ac:dyDescent="0.75">
      <c r="A1072">
        <v>2023</v>
      </c>
      <c r="B1072" t="s">
        <v>52</v>
      </c>
      <c r="C1072" t="s">
        <v>15</v>
      </c>
      <c r="D1072" s="1">
        <v>4443</v>
      </c>
      <c r="E1072" s="1">
        <v>251454</v>
      </c>
      <c r="F1072" s="2">
        <v>59208</v>
      </c>
    </row>
    <row r="1073" spans="1:6" x14ac:dyDescent="0.75">
      <c r="A1073">
        <v>2023</v>
      </c>
      <c r="B1073" t="s">
        <v>52</v>
      </c>
      <c r="C1073" t="s">
        <v>16</v>
      </c>
      <c r="D1073" s="1">
        <v>4428</v>
      </c>
      <c r="E1073" s="1">
        <v>135510</v>
      </c>
      <c r="F1073" s="2">
        <v>75881</v>
      </c>
    </row>
    <row r="1074" spans="1:6" x14ac:dyDescent="0.75">
      <c r="A1074">
        <v>2023</v>
      </c>
      <c r="B1074" t="s">
        <v>52</v>
      </c>
      <c r="C1074" t="s">
        <v>17</v>
      </c>
      <c r="D1074" s="1">
        <v>1856</v>
      </c>
      <c r="E1074" s="1">
        <v>51836</v>
      </c>
      <c r="F1074" s="2">
        <v>55894</v>
      </c>
    </row>
    <row r="1075" spans="1:6" x14ac:dyDescent="0.75">
      <c r="A1075">
        <v>2023</v>
      </c>
      <c r="B1075" t="s">
        <v>52</v>
      </c>
      <c r="C1075" t="s">
        <v>18</v>
      </c>
      <c r="D1075" s="1">
        <v>4035</v>
      </c>
      <c r="E1075" s="1">
        <v>109683</v>
      </c>
      <c r="F1075" s="2">
        <v>78350</v>
      </c>
    </row>
    <row r="1076" spans="1:6" x14ac:dyDescent="0.75">
      <c r="A1076">
        <v>2023</v>
      </c>
      <c r="B1076" t="s">
        <v>52</v>
      </c>
      <c r="C1076" t="s">
        <v>19</v>
      </c>
      <c r="D1076" s="1">
        <v>6711</v>
      </c>
      <c r="E1076" s="1">
        <v>245091</v>
      </c>
      <c r="F1076" s="2">
        <v>88576</v>
      </c>
    </row>
    <row r="1077" spans="1:6" x14ac:dyDescent="0.75">
      <c r="A1077">
        <v>2023</v>
      </c>
      <c r="B1077" t="s">
        <v>52</v>
      </c>
      <c r="C1077" t="s">
        <v>20</v>
      </c>
      <c r="D1077" s="1">
        <v>16070</v>
      </c>
      <c r="E1077" s="1">
        <v>627751</v>
      </c>
      <c r="F1077" s="2">
        <v>67537</v>
      </c>
    </row>
    <row r="1078" spans="1:6" x14ac:dyDescent="0.75">
      <c r="A1078">
        <v>2023</v>
      </c>
      <c r="B1078" t="s">
        <v>52</v>
      </c>
      <c r="C1078" t="s">
        <v>21</v>
      </c>
      <c r="D1078" s="1">
        <v>8487</v>
      </c>
      <c r="E1078" s="1">
        <v>321908</v>
      </c>
      <c r="F1078" s="2">
        <v>67096</v>
      </c>
    </row>
    <row r="1079" spans="1:6" x14ac:dyDescent="0.75">
      <c r="A1079">
        <v>2023</v>
      </c>
      <c r="B1079" t="s">
        <v>52</v>
      </c>
      <c r="C1079" t="s">
        <v>22</v>
      </c>
      <c r="D1079" s="1">
        <v>2421</v>
      </c>
      <c r="E1079" s="1">
        <v>144816</v>
      </c>
      <c r="F1079" s="2">
        <v>49254</v>
      </c>
    </row>
    <row r="1080" spans="1:6" x14ac:dyDescent="0.75">
      <c r="A1080">
        <v>2023</v>
      </c>
      <c r="B1080" t="s">
        <v>52</v>
      </c>
      <c r="C1080" t="s">
        <v>23</v>
      </c>
      <c r="D1080" s="1">
        <v>6476</v>
      </c>
      <c r="E1080" s="1">
        <v>273163</v>
      </c>
      <c r="F1080" s="2">
        <v>58359</v>
      </c>
    </row>
    <row r="1081" spans="1:6" x14ac:dyDescent="0.75">
      <c r="A1081">
        <v>2023</v>
      </c>
      <c r="B1081" t="s">
        <v>52</v>
      </c>
      <c r="C1081" t="s">
        <v>24</v>
      </c>
      <c r="D1081" s="1">
        <v>1634</v>
      </c>
      <c r="E1081" s="1">
        <v>20560</v>
      </c>
      <c r="F1081" s="2">
        <v>50194</v>
      </c>
    </row>
    <row r="1082" spans="1:6" x14ac:dyDescent="0.75">
      <c r="A1082">
        <v>2023</v>
      </c>
      <c r="B1082" t="s">
        <v>52</v>
      </c>
      <c r="C1082" t="s">
        <v>25</v>
      </c>
      <c r="D1082" s="1">
        <v>1988</v>
      </c>
      <c r="E1082" s="1">
        <v>99807</v>
      </c>
      <c r="F1082" s="2">
        <v>51566</v>
      </c>
    </row>
    <row r="1083" spans="1:6" x14ac:dyDescent="0.75">
      <c r="A1083">
        <v>2023</v>
      </c>
      <c r="B1083" t="s">
        <v>52</v>
      </c>
      <c r="C1083" t="s">
        <v>26</v>
      </c>
      <c r="D1083" s="1">
        <v>2066</v>
      </c>
      <c r="E1083" s="1">
        <v>55405</v>
      </c>
      <c r="F1083" s="2">
        <v>58543</v>
      </c>
    </row>
    <row r="1084" spans="1:6" x14ac:dyDescent="0.75">
      <c r="A1084">
        <v>2023</v>
      </c>
      <c r="B1084" t="s">
        <v>52</v>
      </c>
      <c r="C1084" t="s">
        <v>27</v>
      </c>
      <c r="D1084" s="1">
        <v>2032</v>
      </c>
      <c r="E1084" s="1">
        <v>70582</v>
      </c>
      <c r="F1084" s="2">
        <v>71722</v>
      </c>
    </row>
    <row r="1085" spans="1:6" x14ac:dyDescent="0.75">
      <c r="A1085">
        <v>2023</v>
      </c>
      <c r="B1085" t="s">
        <v>52</v>
      </c>
      <c r="C1085" t="s">
        <v>28</v>
      </c>
      <c r="D1085" s="1">
        <v>8976</v>
      </c>
      <c r="E1085" s="1">
        <v>245593</v>
      </c>
      <c r="F1085" s="2">
        <v>80088</v>
      </c>
    </row>
    <row r="1086" spans="1:6" x14ac:dyDescent="0.75">
      <c r="A1086">
        <v>2023</v>
      </c>
      <c r="B1086" t="s">
        <v>52</v>
      </c>
      <c r="C1086" t="s">
        <v>29</v>
      </c>
      <c r="D1086" s="1">
        <v>1768</v>
      </c>
      <c r="E1086" s="1">
        <v>27145</v>
      </c>
      <c r="F1086" s="2">
        <v>53139</v>
      </c>
    </row>
    <row r="1087" spans="1:6" x14ac:dyDescent="0.75">
      <c r="A1087">
        <v>2023</v>
      </c>
      <c r="B1087" t="s">
        <v>52</v>
      </c>
      <c r="C1087" t="s">
        <v>30</v>
      </c>
      <c r="D1087" s="1">
        <v>16910</v>
      </c>
      <c r="E1087" s="1">
        <v>441590</v>
      </c>
      <c r="F1087" s="2">
        <v>67614</v>
      </c>
    </row>
    <row r="1088" spans="1:6" x14ac:dyDescent="0.75">
      <c r="A1088">
        <v>2023</v>
      </c>
      <c r="B1088" t="s">
        <v>52</v>
      </c>
      <c r="C1088" t="s">
        <v>31</v>
      </c>
      <c r="D1088" s="1">
        <v>10219</v>
      </c>
      <c r="E1088" s="1">
        <v>474932</v>
      </c>
      <c r="F1088" s="2">
        <v>59827</v>
      </c>
    </row>
    <row r="1089" spans="1:6" x14ac:dyDescent="0.75">
      <c r="A1089">
        <v>2023</v>
      </c>
      <c r="B1089" t="s">
        <v>52</v>
      </c>
      <c r="C1089" t="s">
        <v>32</v>
      </c>
      <c r="D1089">
        <v>807</v>
      </c>
      <c r="E1089" s="1">
        <v>25906</v>
      </c>
      <c r="F1089" s="2">
        <v>53882</v>
      </c>
    </row>
    <row r="1090" spans="1:6" x14ac:dyDescent="0.75">
      <c r="A1090">
        <v>2023</v>
      </c>
      <c r="B1090" t="s">
        <v>52</v>
      </c>
      <c r="C1090" t="s">
        <v>33</v>
      </c>
      <c r="D1090" s="1">
        <v>15409</v>
      </c>
      <c r="E1090" s="1">
        <v>698950</v>
      </c>
      <c r="F1090" s="2">
        <v>61487</v>
      </c>
    </row>
    <row r="1091" spans="1:6" x14ac:dyDescent="0.75">
      <c r="A1091">
        <v>2023</v>
      </c>
      <c r="B1091" t="s">
        <v>52</v>
      </c>
      <c r="C1091" t="s">
        <v>34</v>
      </c>
      <c r="D1091" s="1">
        <v>4164</v>
      </c>
      <c r="E1091" s="1">
        <v>137739</v>
      </c>
      <c r="F1091" s="2">
        <v>58770</v>
      </c>
    </row>
    <row r="1092" spans="1:6" x14ac:dyDescent="0.75">
      <c r="A1092">
        <v>2023</v>
      </c>
      <c r="B1092" t="s">
        <v>52</v>
      </c>
      <c r="C1092" t="s">
        <v>35</v>
      </c>
      <c r="D1092" s="1">
        <v>6240</v>
      </c>
      <c r="E1092" s="1">
        <v>194693</v>
      </c>
      <c r="F1092" s="2">
        <v>70641</v>
      </c>
    </row>
    <row r="1093" spans="1:6" x14ac:dyDescent="0.75">
      <c r="A1093">
        <v>2023</v>
      </c>
      <c r="B1093" t="s">
        <v>52</v>
      </c>
      <c r="C1093" t="s">
        <v>36</v>
      </c>
      <c r="D1093" s="1">
        <v>14407</v>
      </c>
      <c r="E1093" s="1">
        <v>569811</v>
      </c>
      <c r="F1093" s="2">
        <v>62561</v>
      </c>
    </row>
    <row r="1094" spans="1:6" x14ac:dyDescent="0.75">
      <c r="A1094">
        <v>2023</v>
      </c>
      <c r="B1094" t="s">
        <v>52</v>
      </c>
      <c r="C1094" t="s">
        <v>37</v>
      </c>
      <c r="D1094" s="1">
        <v>1572</v>
      </c>
      <c r="E1094" s="1">
        <v>40340</v>
      </c>
      <c r="F1094" s="2">
        <v>58468</v>
      </c>
    </row>
    <row r="1095" spans="1:6" x14ac:dyDescent="0.75">
      <c r="A1095">
        <v>2023</v>
      </c>
      <c r="B1095" t="s">
        <v>52</v>
      </c>
      <c r="C1095" t="s">
        <v>38</v>
      </c>
      <c r="D1095" s="1">
        <v>6087</v>
      </c>
      <c r="E1095" s="1">
        <v>249719</v>
      </c>
      <c r="F1095" s="2">
        <v>59522</v>
      </c>
    </row>
    <row r="1096" spans="1:6" x14ac:dyDescent="0.75">
      <c r="A1096">
        <v>2023</v>
      </c>
      <c r="B1096" t="s">
        <v>52</v>
      </c>
      <c r="C1096" t="s">
        <v>39</v>
      </c>
      <c r="D1096" s="1">
        <v>1084</v>
      </c>
      <c r="E1096" s="1">
        <v>44442</v>
      </c>
      <c r="F1096" s="2">
        <v>49320</v>
      </c>
    </row>
    <row r="1097" spans="1:6" x14ac:dyDescent="0.75">
      <c r="A1097">
        <v>2023</v>
      </c>
      <c r="B1097" t="s">
        <v>52</v>
      </c>
      <c r="C1097" t="s">
        <v>40</v>
      </c>
      <c r="D1097" s="1">
        <v>7051</v>
      </c>
      <c r="E1097" s="1">
        <v>351073</v>
      </c>
      <c r="F1097" s="2">
        <v>59495</v>
      </c>
    </row>
    <row r="1098" spans="1:6" x14ac:dyDescent="0.75">
      <c r="A1098">
        <v>2023</v>
      </c>
      <c r="B1098" t="s">
        <v>52</v>
      </c>
      <c r="C1098" t="s">
        <v>41</v>
      </c>
      <c r="D1098" s="1">
        <v>24758</v>
      </c>
      <c r="E1098" s="1">
        <v>879509</v>
      </c>
      <c r="F1098" s="2">
        <v>77648</v>
      </c>
    </row>
    <row r="1099" spans="1:6" x14ac:dyDescent="0.75">
      <c r="A1099">
        <v>2023</v>
      </c>
      <c r="B1099" t="s">
        <v>52</v>
      </c>
      <c r="C1099" t="s">
        <v>42</v>
      </c>
      <c r="D1099" s="1">
        <v>4386</v>
      </c>
      <c r="E1099" s="1">
        <v>132149</v>
      </c>
      <c r="F1099" s="2">
        <v>58006</v>
      </c>
    </row>
    <row r="1100" spans="1:6" x14ac:dyDescent="0.75">
      <c r="A1100">
        <v>2023</v>
      </c>
      <c r="B1100" t="s">
        <v>52</v>
      </c>
      <c r="C1100" t="s">
        <v>43</v>
      </c>
      <c r="D1100" s="1">
        <v>1108</v>
      </c>
      <c r="E1100" s="1">
        <v>29827</v>
      </c>
      <c r="F1100" s="2">
        <v>59390</v>
      </c>
    </row>
    <row r="1101" spans="1:6" x14ac:dyDescent="0.75">
      <c r="A1101">
        <v>2023</v>
      </c>
      <c r="B1101" t="s">
        <v>52</v>
      </c>
      <c r="C1101" t="s">
        <v>44</v>
      </c>
      <c r="D1101" s="1">
        <v>6750</v>
      </c>
      <c r="E1101" s="1">
        <v>238645</v>
      </c>
      <c r="F1101" s="2">
        <v>59974</v>
      </c>
    </row>
    <row r="1102" spans="1:6" x14ac:dyDescent="0.75">
      <c r="A1102">
        <v>2023</v>
      </c>
      <c r="B1102" t="s">
        <v>52</v>
      </c>
      <c r="C1102" t="s">
        <v>45</v>
      </c>
      <c r="D1102" s="1">
        <v>7798</v>
      </c>
      <c r="E1102" s="1">
        <v>284112</v>
      </c>
      <c r="F1102" s="2">
        <v>79321</v>
      </c>
    </row>
    <row r="1103" spans="1:6" x14ac:dyDescent="0.75">
      <c r="A1103">
        <v>2023</v>
      </c>
      <c r="B1103" t="s">
        <v>52</v>
      </c>
      <c r="C1103" t="s">
        <v>46</v>
      </c>
      <c r="D1103" s="1">
        <v>1268</v>
      </c>
      <c r="E1103" s="1">
        <v>46952</v>
      </c>
      <c r="F1103" s="2">
        <v>60459</v>
      </c>
    </row>
    <row r="1104" spans="1:6" x14ac:dyDescent="0.75">
      <c r="A1104">
        <v>2023</v>
      </c>
      <c r="B1104" t="s">
        <v>52</v>
      </c>
      <c r="C1104" t="s">
        <v>47</v>
      </c>
      <c r="D1104" s="1">
        <v>9432</v>
      </c>
      <c r="E1104" s="1">
        <v>475510</v>
      </c>
      <c r="F1104" s="2">
        <v>58047</v>
      </c>
    </row>
    <row r="1105" spans="1:6" x14ac:dyDescent="0.75">
      <c r="A1105">
        <v>2023</v>
      </c>
      <c r="B1105" t="s">
        <v>52</v>
      </c>
      <c r="C1105" t="s">
        <v>48</v>
      </c>
      <c r="D1105">
        <v>600</v>
      </c>
      <c r="E1105" s="1">
        <v>9721</v>
      </c>
      <c r="F1105" s="2">
        <v>67060</v>
      </c>
    </row>
    <row r="1106" spans="1:6" x14ac:dyDescent="0.75">
      <c r="A1106">
        <v>2023</v>
      </c>
      <c r="B1106" t="s">
        <v>54</v>
      </c>
      <c r="C1106" t="s">
        <v>1</v>
      </c>
      <c r="D1106" s="1">
        <v>32481</v>
      </c>
      <c r="E1106" s="1">
        <v>377561</v>
      </c>
      <c r="F1106" s="2">
        <v>41970</v>
      </c>
    </row>
    <row r="1107" spans="1:6" x14ac:dyDescent="0.75">
      <c r="A1107">
        <v>2023</v>
      </c>
      <c r="B1107" t="s">
        <v>54</v>
      </c>
      <c r="C1107" t="s">
        <v>2</v>
      </c>
      <c r="D1107" s="1">
        <v>31775</v>
      </c>
      <c r="E1107" s="1">
        <v>532318</v>
      </c>
      <c r="F1107" s="2">
        <v>46734</v>
      </c>
    </row>
    <row r="1108" spans="1:6" x14ac:dyDescent="0.75">
      <c r="A1108">
        <v>2023</v>
      </c>
      <c r="B1108" t="s">
        <v>54</v>
      </c>
      <c r="C1108" t="s">
        <v>3</v>
      </c>
      <c r="D1108" s="1">
        <v>21642</v>
      </c>
      <c r="E1108" s="1">
        <v>248584</v>
      </c>
      <c r="F1108" s="2">
        <v>41450</v>
      </c>
    </row>
    <row r="1109" spans="1:6" x14ac:dyDescent="0.75">
      <c r="A1109">
        <v>2023</v>
      </c>
      <c r="B1109" t="s">
        <v>54</v>
      </c>
      <c r="C1109" t="s">
        <v>4</v>
      </c>
      <c r="D1109" s="1">
        <v>196511</v>
      </c>
      <c r="E1109" s="1">
        <v>3033009</v>
      </c>
      <c r="F1109" s="2">
        <v>52020</v>
      </c>
    </row>
    <row r="1110" spans="1:6" x14ac:dyDescent="0.75">
      <c r="A1110">
        <v>2023</v>
      </c>
      <c r="B1110" t="s">
        <v>54</v>
      </c>
      <c r="C1110" t="s">
        <v>5</v>
      </c>
      <c r="D1110" s="1">
        <v>35891</v>
      </c>
      <c r="E1110" s="1">
        <v>466602</v>
      </c>
      <c r="F1110" s="2">
        <v>50043</v>
      </c>
    </row>
    <row r="1111" spans="1:6" x14ac:dyDescent="0.75">
      <c r="A1111">
        <v>2023</v>
      </c>
      <c r="B1111" t="s">
        <v>54</v>
      </c>
      <c r="C1111" t="s">
        <v>6</v>
      </c>
      <c r="D1111" s="1">
        <v>24902</v>
      </c>
      <c r="E1111" s="1">
        <v>296173</v>
      </c>
      <c r="F1111" s="2">
        <v>51041</v>
      </c>
    </row>
    <row r="1112" spans="1:6" x14ac:dyDescent="0.75">
      <c r="A1112">
        <v>2023</v>
      </c>
      <c r="B1112" t="s">
        <v>54</v>
      </c>
      <c r="C1112" t="s">
        <v>7</v>
      </c>
      <c r="D1112" s="1">
        <v>6850</v>
      </c>
      <c r="E1112" s="1">
        <v>79300</v>
      </c>
      <c r="F1112" s="2">
        <v>40843</v>
      </c>
    </row>
    <row r="1113" spans="1:6" x14ac:dyDescent="0.75">
      <c r="A1113">
        <v>2023</v>
      </c>
      <c r="B1113" t="s">
        <v>54</v>
      </c>
      <c r="C1113" t="s">
        <v>8</v>
      </c>
      <c r="D1113" s="1">
        <v>139486</v>
      </c>
      <c r="E1113" s="1">
        <v>1772605</v>
      </c>
      <c r="F1113" s="2">
        <v>44766</v>
      </c>
    </row>
    <row r="1114" spans="1:6" x14ac:dyDescent="0.75">
      <c r="A1114">
        <v>2023</v>
      </c>
      <c r="B1114" t="s">
        <v>54</v>
      </c>
      <c r="C1114" t="s">
        <v>9</v>
      </c>
      <c r="D1114" s="1">
        <v>60996</v>
      </c>
      <c r="E1114" s="1">
        <v>934259</v>
      </c>
      <c r="F1114" s="2">
        <v>49352</v>
      </c>
    </row>
    <row r="1115" spans="1:6" x14ac:dyDescent="0.75">
      <c r="A1115">
        <v>2023</v>
      </c>
      <c r="B1115" t="s">
        <v>54</v>
      </c>
      <c r="C1115" t="s">
        <v>10</v>
      </c>
      <c r="D1115" s="1">
        <v>11969</v>
      </c>
      <c r="E1115" s="1">
        <v>139473</v>
      </c>
      <c r="F1115" s="2">
        <v>39972</v>
      </c>
    </row>
    <row r="1116" spans="1:6" x14ac:dyDescent="0.75">
      <c r="A1116">
        <v>2023</v>
      </c>
      <c r="B1116" t="s">
        <v>54</v>
      </c>
      <c r="C1116" t="s">
        <v>11</v>
      </c>
      <c r="D1116" s="1">
        <v>78063</v>
      </c>
      <c r="E1116" s="1">
        <v>1192654</v>
      </c>
      <c r="F1116" s="2">
        <v>51570</v>
      </c>
    </row>
    <row r="1117" spans="1:6" x14ac:dyDescent="0.75">
      <c r="A1117">
        <v>2023</v>
      </c>
      <c r="B1117" t="s">
        <v>54</v>
      </c>
      <c r="C1117" t="s">
        <v>12</v>
      </c>
      <c r="D1117" s="1">
        <v>40681</v>
      </c>
      <c r="E1117" s="1">
        <v>591234</v>
      </c>
      <c r="F1117" s="2">
        <v>42092</v>
      </c>
    </row>
    <row r="1118" spans="1:6" x14ac:dyDescent="0.75">
      <c r="A1118">
        <v>2023</v>
      </c>
      <c r="B1118" t="s">
        <v>54</v>
      </c>
      <c r="C1118" t="s">
        <v>13</v>
      </c>
      <c r="D1118" s="1">
        <v>23521</v>
      </c>
      <c r="E1118" s="1">
        <v>309603</v>
      </c>
      <c r="F1118" s="2">
        <v>40539</v>
      </c>
    </row>
    <row r="1119" spans="1:6" x14ac:dyDescent="0.75">
      <c r="A1119">
        <v>2023</v>
      </c>
      <c r="B1119" t="s">
        <v>54</v>
      </c>
      <c r="C1119" t="s">
        <v>14</v>
      </c>
      <c r="D1119" s="1">
        <v>20370</v>
      </c>
      <c r="E1119" s="1">
        <v>263858</v>
      </c>
      <c r="F1119" s="2">
        <v>42235</v>
      </c>
    </row>
    <row r="1120" spans="1:6" x14ac:dyDescent="0.75">
      <c r="A1120">
        <v>2023</v>
      </c>
      <c r="B1120" t="s">
        <v>54</v>
      </c>
      <c r="C1120" t="s">
        <v>15</v>
      </c>
      <c r="D1120" s="1">
        <v>28056</v>
      </c>
      <c r="E1120" s="1">
        <v>399946</v>
      </c>
      <c r="F1120" s="2">
        <v>42623</v>
      </c>
    </row>
    <row r="1121" spans="1:6" x14ac:dyDescent="0.75">
      <c r="A1121">
        <v>2023</v>
      </c>
      <c r="B1121" t="s">
        <v>54</v>
      </c>
      <c r="C1121" t="s">
        <v>16</v>
      </c>
      <c r="D1121" s="1">
        <v>30545</v>
      </c>
      <c r="E1121" s="1">
        <v>377555</v>
      </c>
      <c r="F1121" s="2">
        <v>42196</v>
      </c>
    </row>
    <row r="1122" spans="1:6" x14ac:dyDescent="0.75">
      <c r="A1122">
        <v>2023</v>
      </c>
      <c r="B1122" t="s">
        <v>54</v>
      </c>
      <c r="C1122" t="s">
        <v>17</v>
      </c>
      <c r="D1122" s="1">
        <v>10761</v>
      </c>
      <c r="E1122" s="1">
        <v>118191</v>
      </c>
      <c r="F1122" s="2">
        <v>37589</v>
      </c>
    </row>
    <row r="1123" spans="1:6" x14ac:dyDescent="0.75">
      <c r="A1123">
        <v>2023</v>
      </c>
      <c r="B1123" t="s">
        <v>54</v>
      </c>
      <c r="C1123" t="s">
        <v>18</v>
      </c>
      <c r="D1123" s="1">
        <v>32767</v>
      </c>
      <c r="E1123" s="1">
        <v>462590</v>
      </c>
      <c r="F1123" s="2">
        <v>46648</v>
      </c>
    </row>
    <row r="1124" spans="1:6" x14ac:dyDescent="0.75">
      <c r="A1124">
        <v>2023</v>
      </c>
      <c r="B1124" t="s">
        <v>54</v>
      </c>
      <c r="C1124" t="s">
        <v>19</v>
      </c>
      <c r="D1124" s="1">
        <v>42171</v>
      </c>
      <c r="E1124" s="1">
        <v>577061</v>
      </c>
      <c r="F1124" s="2">
        <v>52937</v>
      </c>
    </row>
    <row r="1125" spans="1:6" x14ac:dyDescent="0.75">
      <c r="A1125">
        <v>2023</v>
      </c>
      <c r="B1125" t="s">
        <v>54</v>
      </c>
      <c r="C1125" t="s">
        <v>20</v>
      </c>
      <c r="D1125" s="1">
        <v>52459</v>
      </c>
      <c r="E1125" s="1">
        <v>786892</v>
      </c>
      <c r="F1125" s="2">
        <v>47200</v>
      </c>
    </row>
    <row r="1126" spans="1:6" x14ac:dyDescent="0.75">
      <c r="A1126">
        <v>2023</v>
      </c>
      <c r="B1126" t="s">
        <v>54</v>
      </c>
      <c r="C1126" t="s">
        <v>21</v>
      </c>
      <c r="D1126" s="1">
        <v>37272</v>
      </c>
      <c r="E1126" s="1">
        <v>531669</v>
      </c>
      <c r="F1126" s="2">
        <v>49570</v>
      </c>
    </row>
    <row r="1127" spans="1:6" x14ac:dyDescent="0.75">
      <c r="A1127">
        <v>2023</v>
      </c>
      <c r="B1127" t="s">
        <v>54</v>
      </c>
      <c r="C1127" t="s">
        <v>22</v>
      </c>
      <c r="D1127" s="1">
        <v>19763</v>
      </c>
      <c r="E1127" s="1">
        <v>229107</v>
      </c>
      <c r="F1127" s="2">
        <v>36497</v>
      </c>
    </row>
    <row r="1128" spans="1:6" x14ac:dyDescent="0.75">
      <c r="A1128">
        <v>2023</v>
      </c>
      <c r="B1128" t="s">
        <v>54</v>
      </c>
      <c r="C1128" t="s">
        <v>23</v>
      </c>
      <c r="D1128" s="1">
        <v>38808</v>
      </c>
      <c r="E1128" s="1">
        <v>537150</v>
      </c>
      <c r="F1128" s="2">
        <v>42469</v>
      </c>
    </row>
    <row r="1129" spans="1:6" x14ac:dyDescent="0.75">
      <c r="A1129">
        <v>2023</v>
      </c>
      <c r="B1129" t="s">
        <v>54</v>
      </c>
      <c r="C1129" t="s">
        <v>24</v>
      </c>
      <c r="D1129" s="1">
        <v>9250</v>
      </c>
      <c r="E1129" s="1">
        <v>91355</v>
      </c>
      <c r="F1129" s="2">
        <v>39170</v>
      </c>
    </row>
    <row r="1130" spans="1:6" x14ac:dyDescent="0.75">
      <c r="A1130">
        <v>2023</v>
      </c>
      <c r="B1130" t="s">
        <v>54</v>
      </c>
      <c r="C1130" t="s">
        <v>25</v>
      </c>
      <c r="D1130" s="1">
        <v>14923</v>
      </c>
      <c r="E1130" s="1">
        <v>189793</v>
      </c>
      <c r="F1130" s="2">
        <v>39891</v>
      </c>
    </row>
    <row r="1131" spans="1:6" x14ac:dyDescent="0.75">
      <c r="A1131">
        <v>2023</v>
      </c>
      <c r="B1131" t="s">
        <v>54</v>
      </c>
      <c r="C1131" t="s">
        <v>26</v>
      </c>
      <c r="D1131" s="1">
        <v>15829</v>
      </c>
      <c r="E1131" s="1">
        <v>254417</v>
      </c>
      <c r="F1131" s="2">
        <v>44190</v>
      </c>
    </row>
    <row r="1132" spans="1:6" x14ac:dyDescent="0.75">
      <c r="A1132">
        <v>2023</v>
      </c>
      <c r="B1132" t="s">
        <v>54</v>
      </c>
      <c r="C1132" t="s">
        <v>27</v>
      </c>
      <c r="D1132" s="1">
        <v>12509</v>
      </c>
      <c r="E1132" s="1">
        <v>139183</v>
      </c>
      <c r="F1132" s="2">
        <v>47777</v>
      </c>
    </row>
    <row r="1133" spans="1:6" x14ac:dyDescent="0.75">
      <c r="A1133">
        <v>2023</v>
      </c>
      <c r="B1133" t="s">
        <v>54</v>
      </c>
      <c r="C1133" t="s">
        <v>28</v>
      </c>
      <c r="D1133" s="1">
        <v>54238</v>
      </c>
      <c r="E1133" s="1">
        <v>876344</v>
      </c>
      <c r="F1133" s="2">
        <v>53723</v>
      </c>
    </row>
    <row r="1134" spans="1:6" x14ac:dyDescent="0.75">
      <c r="A1134">
        <v>2023</v>
      </c>
      <c r="B1134" t="s">
        <v>54</v>
      </c>
      <c r="C1134" t="s">
        <v>29</v>
      </c>
      <c r="D1134" s="1">
        <v>10758</v>
      </c>
      <c r="E1134" s="1">
        <v>135970</v>
      </c>
      <c r="F1134" s="2">
        <v>38078</v>
      </c>
    </row>
    <row r="1135" spans="1:6" x14ac:dyDescent="0.75">
      <c r="A1135">
        <v>2023</v>
      </c>
      <c r="B1135" t="s">
        <v>54</v>
      </c>
      <c r="C1135" t="s">
        <v>30</v>
      </c>
      <c r="D1135" s="1">
        <v>123741</v>
      </c>
      <c r="E1135" s="1">
        <v>1554768</v>
      </c>
      <c r="F1135" s="2">
        <v>51832</v>
      </c>
    </row>
    <row r="1136" spans="1:6" x14ac:dyDescent="0.75">
      <c r="A1136">
        <v>2023</v>
      </c>
      <c r="B1136" t="s">
        <v>54</v>
      </c>
      <c r="C1136" t="s">
        <v>31</v>
      </c>
      <c r="D1136" s="1">
        <v>61525</v>
      </c>
      <c r="E1136" s="1">
        <v>830550</v>
      </c>
      <c r="F1136" s="2">
        <v>43092</v>
      </c>
    </row>
    <row r="1137" spans="1:6" x14ac:dyDescent="0.75">
      <c r="A1137">
        <v>2023</v>
      </c>
      <c r="B1137" t="s">
        <v>54</v>
      </c>
      <c r="C1137" t="s">
        <v>32</v>
      </c>
      <c r="D1137" s="1">
        <v>7753</v>
      </c>
      <c r="E1137" s="1">
        <v>91635</v>
      </c>
      <c r="F1137" s="2">
        <v>49819</v>
      </c>
    </row>
    <row r="1138" spans="1:6" x14ac:dyDescent="0.75">
      <c r="A1138">
        <v>2023</v>
      </c>
      <c r="B1138" t="s">
        <v>54</v>
      </c>
      <c r="C1138" t="s">
        <v>33</v>
      </c>
      <c r="D1138" s="1">
        <v>68615</v>
      </c>
      <c r="E1138" s="1">
        <v>1017249</v>
      </c>
      <c r="F1138" s="2">
        <v>44247</v>
      </c>
    </row>
    <row r="1139" spans="1:6" x14ac:dyDescent="0.75">
      <c r="A1139">
        <v>2023</v>
      </c>
      <c r="B1139" t="s">
        <v>54</v>
      </c>
      <c r="C1139" t="s">
        <v>34</v>
      </c>
      <c r="D1139" s="1">
        <v>23748</v>
      </c>
      <c r="E1139" s="1">
        <v>297631</v>
      </c>
      <c r="F1139" s="2">
        <v>41554</v>
      </c>
    </row>
    <row r="1140" spans="1:6" x14ac:dyDescent="0.75">
      <c r="A1140">
        <v>2023</v>
      </c>
      <c r="B1140" t="s">
        <v>54</v>
      </c>
      <c r="C1140" t="s">
        <v>35</v>
      </c>
      <c r="D1140" s="1">
        <v>26503</v>
      </c>
      <c r="E1140" s="1">
        <v>349656</v>
      </c>
      <c r="F1140" s="2">
        <v>44347</v>
      </c>
    </row>
    <row r="1141" spans="1:6" x14ac:dyDescent="0.75">
      <c r="A1141">
        <v>2023</v>
      </c>
      <c r="B1141" t="s">
        <v>54</v>
      </c>
      <c r="C1141" t="s">
        <v>36</v>
      </c>
      <c r="D1141" s="1">
        <v>74845</v>
      </c>
      <c r="E1141" s="1">
        <v>1117054</v>
      </c>
      <c r="F1141" s="2">
        <v>45000</v>
      </c>
    </row>
    <row r="1142" spans="1:6" x14ac:dyDescent="0.75">
      <c r="A1142">
        <v>2023</v>
      </c>
      <c r="B1142" t="s">
        <v>54</v>
      </c>
      <c r="C1142" t="s">
        <v>37</v>
      </c>
      <c r="D1142" s="1">
        <v>7658</v>
      </c>
      <c r="E1142" s="1">
        <v>76762</v>
      </c>
      <c r="F1142" s="2">
        <v>43902</v>
      </c>
    </row>
    <row r="1143" spans="1:6" x14ac:dyDescent="0.75">
      <c r="A1143">
        <v>2023</v>
      </c>
      <c r="B1143" t="s">
        <v>54</v>
      </c>
      <c r="C1143" t="s">
        <v>38</v>
      </c>
      <c r="D1143" s="1">
        <v>30013</v>
      </c>
      <c r="E1143" s="1">
        <v>402308</v>
      </c>
      <c r="F1143" s="2">
        <v>39429</v>
      </c>
    </row>
    <row r="1144" spans="1:6" x14ac:dyDescent="0.75">
      <c r="A1144">
        <v>2023</v>
      </c>
      <c r="B1144" t="s">
        <v>54</v>
      </c>
      <c r="C1144" t="s">
        <v>39</v>
      </c>
      <c r="D1144" s="1">
        <v>8059</v>
      </c>
      <c r="E1144" s="1">
        <v>85734</v>
      </c>
      <c r="F1144" s="2">
        <v>39650</v>
      </c>
    </row>
    <row r="1145" spans="1:6" x14ac:dyDescent="0.75">
      <c r="A1145">
        <v>2023</v>
      </c>
      <c r="B1145" t="s">
        <v>54</v>
      </c>
      <c r="C1145" t="s">
        <v>40</v>
      </c>
      <c r="D1145" s="1">
        <v>40040</v>
      </c>
      <c r="E1145" s="1">
        <v>623566</v>
      </c>
      <c r="F1145" s="2">
        <v>46137</v>
      </c>
    </row>
    <row r="1146" spans="1:6" x14ac:dyDescent="0.75">
      <c r="A1146">
        <v>2023</v>
      </c>
      <c r="B1146" t="s">
        <v>54</v>
      </c>
      <c r="C1146" t="s">
        <v>41</v>
      </c>
      <c r="D1146" s="1">
        <v>147447</v>
      </c>
      <c r="E1146" s="1">
        <v>2465009</v>
      </c>
      <c r="F1146" s="2">
        <v>52337</v>
      </c>
    </row>
    <row r="1147" spans="1:6" x14ac:dyDescent="0.75">
      <c r="A1147">
        <v>2023</v>
      </c>
      <c r="B1147" t="s">
        <v>54</v>
      </c>
      <c r="C1147" t="s">
        <v>42</v>
      </c>
      <c r="D1147" s="1">
        <v>19531</v>
      </c>
      <c r="E1147" s="1">
        <v>284283</v>
      </c>
      <c r="F1147" s="2">
        <v>44163</v>
      </c>
    </row>
    <row r="1148" spans="1:6" x14ac:dyDescent="0.75">
      <c r="A1148">
        <v>2023</v>
      </c>
      <c r="B1148" t="s">
        <v>54</v>
      </c>
      <c r="C1148" t="s">
        <v>43</v>
      </c>
      <c r="D1148" s="1">
        <v>5084</v>
      </c>
      <c r="E1148" s="1">
        <v>54476</v>
      </c>
      <c r="F1148" s="2">
        <v>40351</v>
      </c>
    </row>
    <row r="1149" spans="1:6" x14ac:dyDescent="0.75">
      <c r="A1149">
        <v>2023</v>
      </c>
      <c r="B1149" t="s">
        <v>54</v>
      </c>
      <c r="C1149" t="s">
        <v>44</v>
      </c>
      <c r="D1149" s="1">
        <v>43180</v>
      </c>
      <c r="E1149" s="1">
        <v>650233</v>
      </c>
      <c r="F1149" s="2">
        <v>43886</v>
      </c>
    </row>
    <row r="1150" spans="1:6" x14ac:dyDescent="0.75">
      <c r="A1150">
        <v>2023</v>
      </c>
      <c r="B1150" t="s">
        <v>54</v>
      </c>
      <c r="C1150" t="s">
        <v>45</v>
      </c>
      <c r="D1150" s="1">
        <v>39324</v>
      </c>
      <c r="E1150" s="1">
        <v>621384</v>
      </c>
      <c r="F1150" s="2">
        <v>63994</v>
      </c>
    </row>
    <row r="1151" spans="1:6" x14ac:dyDescent="0.75">
      <c r="A1151">
        <v>2023</v>
      </c>
      <c r="B1151" t="s">
        <v>54</v>
      </c>
      <c r="C1151" t="s">
        <v>46</v>
      </c>
      <c r="D1151" s="1">
        <v>10925</v>
      </c>
      <c r="E1151" s="1">
        <v>128211</v>
      </c>
      <c r="F1151" s="2">
        <v>38698</v>
      </c>
    </row>
    <row r="1152" spans="1:6" x14ac:dyDescent="0.75">
      <c r="A1152">
        <v>2023</v>
      </c>
      <c r="B1152" t="s">
        <v>54</v>
      </c>
      <c r="C1152" t="s">
        <v>47</v>
      </c>
      <c r="D1152" s="1">
        <v>36496</v>
      </c>
      <c r="E1152" s="1">
        <v>541333</v>
      </c>
      <c r="F1152" s="2">
        <v>41512</v>
      </c>
    </row>
    <row r="1153" spans="1:6" x14ac:dyDescent="0.75">
      <c r="A1153">
        <v>2023</v>
      </c>
      <c r="B1153" t="s">
        <v>54</v>
      </c>
      <c r="C1153" t="s">
        <v>48</v>
      </c>
      <c r="D1153" s="1">
        <v>4830</v>
      </c>
      <c r="E1153" s="1">
        <v>49819</v>
      </c>
      <c r="F1153" s="2">
        <v>42737</v>
      </c>
    </row>
    <row r="1154" spans="1:6" x14ac:dyDescent="0.75">
      <c r="A1154">
        <v>2023</v>
      </c>
      <c r="B1154" t="s">
        <v>53</v>
      </c>
      <c r="C1154" t="s">
        <v>1</v>
      </c>
      <c r="D1154" s="1">
        <v>2168</v>
      </c>
      <c r="E1154" s="1">
        <v>21030</v>
      </c>
      <c r="F1154" s="2">
        <v>60025</v>
      </c>
    </row>
    <row r="1155" spans="1:6" x14ac:dyDescent="0.75">
      <c r="A1155">
        <v>2023</v>
      </c>
      <c r="B1155" t="s">
        <v>53</v>
      </c>
      <c r="C1155" t="s">
        <v>2</v>
      </c>
      <c r="D1155" s="1">
        <v>3113</v>
      </c>
      <c r="E1155" s="1">
        <v>47340</v>
      </c>
      <c r="F1155" s="2">
        <v>75499</v>
      </c>
    </row>
    <row r="1156" spans="1:6" x14ac:dyDescent="0.75">
      <c r="A1156">
        <v>2023</v>
      </c>
      <c r="B1156" t="s">
        <v>53</v>
      </c>
      <c r="C1156" t="s">
        <v>3</v>
      </c>
      <c r="D1156" s="1">
        <v>1210</v>
      </c>
      <c r="E1156" s="1">
        <v>10913</v>
      </c>
      <c r="F1156" s="2">
        <v>53828</v>
      </c>
    </row>
    <row r="1157" spans="1:6" x14ac:dyDescent="0.75">
      <c r="A1157">
        <v>2023</v>
      </c>
      <c r="B1157" t="s">
        <v>53</v>
      </c>
      <c r="C1157" t="s">
        <v>4</v>
      </c>
      <c r="D1157" s="1">
        <v>26592</v>
      </c>
      <c r="E1157" s="1">
        <v>525771</v>
      </c>
      <c r="F1157" s="2">
        <v>188173</v>
      </c>
    </row>
    <row r="1158" spans="1:6" x14ac:dyDescent="0.75">
      <c r="A1158">
        <v>2023</v>
      </c>
      <c r="B1158" t="s">
        <v>53</v>
      </c>
      <c r="C1158" t="s">
        <v>5</v>
      </c>
      <c r="D1158" s="1">
        <v>4173</v>
      </c>
      <c r="E1158" s="1">
        <v>75076</v>
      </c>
      <c r="F1158" s="2">
        <v>100735</v>
      </c>
    </row>
    <row r="1159" spans="1:6" x14ac:dyDescent="0.75">
      <c r="A1159">
        <v>2023</v>
      </c>
      <c r="B1159" t="s">
        <v>53</v>
      </c>
      <c r="C1159" t="s">
        <v>6</v>
      </c>
      <c r="D1159" s="1">
        <v>2306</v>
      </c>
      <c r="E1159" s="1">
        <v>31734</v>
      </c>
      <c r="F1159" s="2">
        <v>110642</v>
      </c>
    </row>
    <row r="1160" spans="1:6" x14ac:dyDescent="0.75">
      <c r="A1160">
        <v>2023</v>
      </c>
      <c r="B1160" t="s">
        <v>53</v>
      </c>
      <c r="C1160" t="s">
        <v>7</v>
      </c>
      <c r="D1160">
        <v>433</v>
      </c>
      <c r="E1160" s="1">
        <v>4065</v>
      </c>
      <c r="F1160" s="2">
        <v>65782</v>
      </c>
    </row>
    <row r="1161" spans="1:6" x14ac:dyDescent="0.75">
      <c r="A1161">
        <v>2023</v>
      </c>
      <c r="B1161" t="s">
        <v>53</v>
      </c>
      <c r="C1161" t="s">
        <v>8</v>
      </c>
      <c r="D1161" s="1">
        <v>11205</v>
      </c>
      <c r="E1161" s="1">
        <v>138995</v>
      </c>
      <c r="F1161" s="2">
        <v>81168</v>
      </c>
    </row>
    <row r="1162" spans="1:6" x14ac:dyDescent="0.75">
      <c r="A1162">
        <v>2023</v>
      </c>
      <c r="B1162" t="s">
        <v>53</v>
      </c>
      <c r="C1162" t="s">
        <v>9</v>
      </c>
      <c r="D1162" s="1">
        <v>5113</v>
      </c>
      <c r="E1162" s="1">
        <v>114231</v>
      </c>
      <c r="F1162" s="2">
        <v>96613</v>
      </c>
    </row>
    <row r="1163" spans="1:6" x14ac:dyDescent="0.75">
      <c r="A1163">
        <v>2023</v>
      </c>
      <c r="B1163" t="s">
        <v>53</v>
      </c>
      <c r="C1163" t="s">
        <v>10</v>
      </c>
      <c r="D1163" s="1">
        <v>1223</v>
      </c>
      <c r="E1163" s="1">
        <v>8798</v>
      </c>
      <c r="F1163" s="2">
        <v>52761</v>
      </c>
    </row>
    <row r="1164" spans="1:6" x14ac:dyDescent="0.75">
      <c r="A1164">
        <v>2023</v>
      </c>
      <c r="B1164" t="s">
        <v>53</v>
      </c>
      <c r="C1164" t="s">
        <v>11</v>
      </c>
      <c r="D1164" s="1">
        <v>6688</v>
      </c>
      <c r="E1164" s="1">
        <v>94330</v>
      </c>
      <c r="F1164" s="2">
        <v>91164</v>
      </c>
    </row>
    <row r="1165" spans="1:6" x14ac:dyDescent="0.75">
      <c r="A1165">
        <v>2023</v>
      </c>
      <c r="B1165" t="s">
        <v>53</v>
      </c>
      <c r="C1165" t="s">
        <v>12</v>
      </c>
      <c r="D1165" s="1">
        <v>2123</v>
      </c>
      <c r="E1165" s="1">
        <v>29375</v>
      </c>
      <c r="F1165" s="2">
        <v>60371</v>
      </c>
    </row>
    <row r="1166" spans="1:6" x14ac:dyDescent="0.75">
      <c r="A1166">
        <v>2023</v>
      </c>
      <c r="B1166" t="s">
        <v>53</v>
      </c>
      <c r="C1166" t="s">
        <v>13</v>
      </c>
      <c r="D1166" s="1">
        <v>1742</v>
      </c>
      <c r="E1166" s="1">
        <v>22018</v>
      </c>
      <c r="F1166" s="2">
        <v>58519</v>
      </c>
    </row>
    <row r="1167" spans="1:6" x14ac:dyDescent="0.75">
      <c r="A1167">
        <v>2023</v>
      </c>
      <c r="B1167" t="s">
        <v>53</v>
      </c>
      <c r="C1167" t="s">
        <v>14</v>
      </c>
      <c r="D1167" s="1">
        <v>1308</v>
      </c>
      <c r="E1167" s="1">
        <v>18664</v>
      </c>
      <c r="F1167" s="2">
        <v>63399</v>
      </c>
    </row>
    <row r="1168" spans="1:6" x14ac:dyDescent="0.75">
      <c r="A1168">
        <v>2023</v>
      </c>
      <c r="B1168" t="s">
        <v>53</v>
      </c>
      <c r="C1168" t="s">
        <v>15</v>
      </c>
      <c r="D1168" s="1">
        <v>1785</v>
      </c>
      <c r="E1168" s="1">
        <v>21989</v>
      </c>
      <c r="F1168" s="2">
        <v>54629</v>
      </c>
    </row>
    <row r="1169" spans="1:6" x14ac:dyDescent="0.75">
      <c r="A1169">
        <v>2023</v>
      </c>
      <c r="B1169" t="s">
        <v>53</v>
      </c>
      <c r="C1169" t="s">
        <v>16</v>
      </c>
      <c r="D1169" s="1">
        <v>1716</v>
      </c>
      <c r="E1169" s="1">
        <v>22869</v>
      </c>
      <c r="F1169" s="2">
        <v>58223</v>
      </c>
    </row>
    <row r="1170" spans="1:6" x14ac:dyDescent="0.75">
      <c r="A1170">
        <v>2023</v>
      </c>
      <c r="B1170" t="s">
        <v>53</v>
      </c>
      <c r="C1170" t="s">
        <v>17</v>
      </c>
      <c r="D1170">
        <v>849</v>
      </c>
      <c r="E1170" s="1">
        <v>7397</v>
      </c>
      <c r="F1170" s="2">
        <v>54502</v>
      </c>
    </row>
    <row r="1171" spans="1:6" x14ac:dyDescent="0.75">
      <c r="A1171">
        <v>2023</v>
      </c>
      <c r="B1171" t="s">
        <v>53</v>
      </c>
      <c r="C1171" t="s">
        <v>18</v>
      </c>
      <c r="D1171" s="1">
        <v>2737</v>
      </c>
      <c r="E1171" s="1">
        <v>36210</v>
      </c>
      <c r="F1171" s="2">
        <v>92844</v>
      </c>
    </row>
    <row r="1172" spans="1:6" x14ac:dyDescent="0.75">
      <c r="A1172">
        <v>2023</v>
      </c>
      <c r="B1172" t="s">
        <v>53</v>
      </c>
      <c r="C1172" t="s">
        <v>19</v>
      </c>
      <c r="D1172" s="1">
        <v>5379</v>
      </c>
      <c r="E1172" s="1">
        <v>91783</v>
      </c>
      <c r="F1172" s="2">
        <v>123118</v>
      </c>
    </row>
    <row r="1173" spans="1:6" x14ac:dyDescent="0.75">
      <c r="A1173">
        <v>2023</v>
      </c>
      <c r="B1173" t="s">
        <v>53</v>
      </c>
      <c r="C1173" t="s">
        <v>20</v>
      </c>
      <c r="D1173" s="1">
        <v>6287</v>
      </c>
      <c r="E1173" s="1">
        <v>56247</v>
      </c>
      <c r="F1173" s="2">
        <v>73556</v>
      </c>
    </row>
    <row r="1174" spans="1:6" x14ac:dyDescent="0.75">
      <c r="A1174">
        <v>2023</v>
      </c>
      <c r="B1174" t="s">
        <v>53</v>
      </c>
      <c r="C1174" t="s">
        <v>21</v>
      </c>
      <c r="D1174" s="1">
        <v>3977</v>
      </c>
      <c r="E1174" s="1">
        <v>49170</v>
      </c>
      <c r="F1174" s="2">
        <v>78903</v>
      </c>
    </row>
    <row r="1175" spans="1:6" x14ac:dyDescent="0.75">
      <c r="A1175">
        <v>2023</v>
      </c>
      <c r="B1175" t="s">
        <v>53</v>
      </c>
      <c r="C1175" t="s">
        <v>22</v>
      </c>
      <c r="D1175">
        <v>940</v>
      </c>
      <c r="E1175" s="1">
        <v>10980</v>
      </c>
      <c r="F1175" s="2">
        <v>49173</v>
      </c>
    </row>
    <row r="1176" spans="1:6" x14ac:dyDescent="0.75">
      <c r="A1176">
        <v>2023</v>
      </c>
      <c r="B1176" t="s">
        <v>53</v>
      </c>
      <c r="C1176" t="s">
        <v>23</v>
      </c>
      <c r="D1176" s="1">
        <v>3049</v>
      </c>
      <c r="E1176" s="1">
        <v>47666</v>
      </c>
      <c r="F1176" s="2">
        <v>81842</v>
      </c>
    </row>
    <row r="1177" spans="1:6" x14ac:dyDescent="0.75">
      <c r="A1177">
        <v>2023</v>
      </c>
      <c r="B1177" t="s">
        <v>53</v>
      </c>
      <c r="C1177" t="s">
        <v>24</v>
      </c>
      <c r="D1177">
        <v>801</v>
      </c>
      <c r="E1177" s="1">
        <v>6350</v>
      </c>
      <c r="F1177" s="2">
        <v>54475</v>
      </c>
    </row>
    <row r="1178" spans="1:6" x14ac:dyDescent="0.75">
      <c r="A1178">
        <v>2023</v>
      </c>
      <c r="B1178" t="s">
        <v>53</v>
      </c>
      <c r="C1178" t="s">
        <v>25</v>
      </c>
      <c r="D1178">
        <v>973</v>
      </c>
      <c r="E1178" s="1">
        <v>17653</v>
      </c>
      <c r="F1178" s="2">
        <v>64407</v>
      </c>
    </row>
    <row r="1179" spans="1:6" x14ac:dyDescent="0.75">
      <c r="A1179">
        <v>2023</v>
      </c>
      <c r="B1179" t="s">
        <v>53</v>
      </c>
      <c r="C1179" t="s">
        <v>26</v>
      </c>
      <c r="D1179" s="1">
        <v>1541</v>
      </c>
      <c r="E1179" s="1">
        <v>15646</v>
      </c>
      <c r="F1179" s="2">
        <v>70292</v>
      </c>
    </row>
    <row r="1180" spans="1:6" x14ac:dyDescent="0.75">
      <c r="A1180">
        <v>2023</v>
      </c>
      <c r="B1180" t="s">
        <v>53</v>
      </c>
      <c r="C1180" t="s">
        <v>27</v>
      </c>
      <c r="D1180">
        <v>892</v>
      </c>
      <c r="E1180" s="1">
        <v>12351</v>
      </c>
      <c r="F1180" s="2">
        <v>93599</v>
      </c>
    </row>
    <row r="1181" spans="1:6" x14ac:dyDescent="0.75">
      <c r="A1181">
        <v>2023</v>
      </c>
      <c r="B1181" t="s">
        <v>53</v>
      </c>
      <c r="C1181" t="s">
        <v>28</v>
      </c>
      <c r="D1181" s="1">
        <v>3722</v>
      </c>
      <c r="E1181" s="1">
        <v>69519</v>
      </c>
      <c r="F1181" s="2">
        <v>114630</v>
      </c>
    </row>
    <row r="1182" spans="1:6" x14ac:dyDescent="0.75">
      <c r="A1182">
        <v>2023</v>
      </c>
      <c r="B1182" t="s">
        <v>53</v>
      </c>
      <c r="C1182" t="s">
        <v>29</v>
      </c>
      <c r="D1182">
        <v>987</v>
      </c>
      <c r="E1182" s="1">
        <v>12015</v>
      </c>
      <c r="F1182" s="2">
        <v>53204</v>
      </c>
    </row>
    <row r="1183" spans="1:6" x14ac:dyDescent="0.75">
      <c r="A1183">
        <v>2023</v>
      </c>
      <c r="B1183" t="s">
        <v>53</v>
      </c>
      <c r="C1183" t="s">
        <v>30</v>
      </c>
      <c r="D1183" s="1">
        <v>12672</v>
      </c>
      <c r="E1183" s="1">
        <v>275598</v>
      </c>
      <c r="F1183" s="2">
        <v>129853</v>
      </c>
    </row>
    <row r="1184" spans="1:6" x14ac:dyDescent="0.75">
      <c r="A1184">
        <v>2023</v>
      </c>
      <c r="B1184" t="s">
        <v>53</v>
      </c>
      <c r="C1184" t="s">
        <v>31</v>
      </c>
      <c r="D1184" s="1">
        <v>5238</v>
      </c>
      <c r="E1184" s="1">
        <v>79945</v>
      </c>
      <c r="F1184" s="2">
        <v>83920</v>
      </c>
    </row>
    <row r="1185" spans="1:6" x14ac:dyDescent="0.75">
      <c r="A1185">
        <v>2023</v>
      </c>
      <c r="B1185" t="s">
        <v>53</v>
      </c>
      <c r="C1185" t="s">
        <v>32</v>
      </c>
      <c r="D1185">
        <v>395</v>
      </c>
      <c r="E1185" s="1">
        <v>6221</v>
      </c>
      <c r="F1185" s="2">
        <v>70208</v>
      </c>
    </row>
    <row r="1186" spans="1:6" x14ac:dyDescent="0.75">
      <c r="A1186">
        <v>2023</v>
      </c>
      <c r="B1186" t="s">
        <v>53</v>
      </c>
      <c r="C1186" t="s">
        <v>33</v>
      </c>
      <c r="D1186" s="1">
        <v>4616</v>
      </c>
      <c r="E1186" s="1">
        <v>70930</v>
      </c>
      <c r="F1186" s="2">
        <v>70006</v>
      </c>
    </row>
    <row r="1187" spans="1:6" x14ac:dyDescent="0.75">
      <c r="A1187">
        <v>2023</v>
      </c>
      <c r="B1187" t="s">
        <v>53</v>
      </c>
      <c r="C1187" t="s">
        <v>34</v>
      </c>
      <c r="D1187" s="1">
        <v>1469</v>
      </c>
      <c r="E1187" s="1">
        <v>19859</v>
      </c>
      <c r="F1187" s="2">
        <v>58997</v>
      </c>
    </row>
    <row r="1188" spans="1:6" x14ac:dyDescent="0.75">
      <c r="A1188">
        <v>2023</v>
      </c>
      <c r="B1188" t="s">
        <v>53</v>
      </c>
      <c r="C1188" t="s">
        <v>35</v>
      </c>
      <c r="D1188" s="1">
        <v>3768</v>
      </c>
      <c r="E1188" s="1">
        <v>34277</v>
      </c>
      <c r="F1188" s="2">
        <v>87733</v>
      </c>
    </row>
    <row r="1189" spans="1:6" x14ac:dyDescent="0.75">
      <c r="A1189">
        <v>2023</v>
      </c>
      <c r="B1189" t="s">
        <v>53</v>
      </c>
      <c r="C1189" t="s">
        <v>36</v>
      </c>
      <c r="D1189" s="1">
        <v>4896</v>
      </c>
      <c r="E1189" s="1">
        <v>85970</v>
      </c>
      <c r="F1189" s="2">
        <v>87091</v>
      </c>
    </row>
    <row r="1190" spans="1:6" x14ac:dyDescent="0.75">
      <c r="A1190">
        <v>2023</v>
      </c>
      <c r="B1190" t="s">
        <v>53</v>
      </c>
      <c r="C1190" t="s">
        <v>37</v>
      </c>
      <c r="D1190">
        <v>715</v>
      </c>
      <c r="E1190" s="1">
        <v>5930</v>
      </c>
      <c r="F1190" s="2">
        <v>74327</v>
      </c>
    </row>
    <row r="1191" spans="1:6" x14ac:dyDescent="0.75">
      <c r="A1191">
        <v>2023</v>
      </c>
      <c r="B1191" t="s">
        <v>53</v>
      </c>
      <c r="C1191" t="s">
        <v>38</v>
      </c>
      <c r="D1191" s="1">
        <v>2548</v>
      </c>
      <c r="E1191" s="1">
        <v>28067</v>
      </c>
      <c r="F1191" s="2">
        <v>61977</v>
      </c>
    </row>
    <row r="1192" spans="1:6" x14ac:dyDescent="0.75">
      <c r="A1192">
        <v>2023</v>
      </c>
      <c r="B1192" t="s">
        <v>53</v>
      </c>
      <c r="C1192" t="s">
        <v>39</v>
      </c>
      <c r="D1192">
        <v>561</v>
      </c>
      <c r="E1192" s="1">
        <v>5589</v>
      </c>
      <c r="F1192" s="2">
        <v>49334</v>
      </c>
    </row>
    <row r="1193" spans="1:6" x14ac:dyDescent="0.75">
      <c r="A1193">
        <v>2023</v>
      </c>
      <c r="B1193" t="s">
        <v>53</v>
      </c>
      <c r="C1193" t="s">
        <v>40</v>
      </c>
      <c r="D1193" s="1">
        <v>3519</v>
      </c>
      <c r="E1193" s="1">
        <v>44851</v>
      </c>
      <c r="F1193" s="2">
        <v>73821</v>
      </c>
    </row>
    <row r="1194" spans="1:6" x14ac:dyDescent="0.75">
      <c r="A1194">
        <v>2023</v>
      </c>
      <c r="B1194" t="s">
        <v>53</v>
      </c>
      <c r="C1194" t="s">
        <v>41</v>
      </c>
      <c r="D1194" s="1">
        <v>9828</v>
      </c>
      <c r="E1194" s="1">
        <v>203822</v>
      </c>
      <c r="F1194" s="2">
        <v>87085</v>
      </c>
    </row>
    <row r="1195" spans="1:6" x14ac:dyDescent="0.75">
      <c r="A1195">
        <v>2023</v>
      </c>
      <c r="B1195" t="s">
        <v>53</v>
      </c>
      <c r="C1195" t="s">
        <v>42</v>
      </c>
      <c r="D1195" s="1">
        <v>2489</v>
      </c>
      <c r="E1195" s="1">
        <v>36783</v>
      </c>
      <c r="F1195" s="2">
        <v>78404</v>
      </c>
    </row>
    <row r="1196" spans="1:6" x14ac:dyDescent="0.75">
      <c r="A1196">
        <v>2023</v>
      </c>
      <c r="B1196" t="s">
        <v>53</v>
      </c>
      <c r="C1196" t="s">
        <v>43</v>
      </c>
      <c r="D1196">
        <v>505</v>
      </c>
      <c r="E1196" s="1">
        <v>4280</v>
      </c>
      <c r="F1196" s="2">
        <v>59800</v>
      </c>
    </row>
    <row r="1197" spans="1:6" x14ac:dyDescent="0.75">
      <c r="A1197">
        <v>2023</v>
      </c>
      <c r="B1197" t="s">
        <v>53</v>
      </c>
      <c r="C1197" t="s">
        <v>44</v>
      </c>
      <c r="D1197" s="1">
        <v>4379</v>
      </c>
      <c r="E1197" s="1">
        <v>66998</v>
      </c>
      <c r="F1197" s="2">
        <v>100731</v>
      </c>
    </row>
    <row r="1198" spans="1:6" x14ac:dyDescent="0.75">
      <c r="A1198">
        <v>2023</v>
      </c>
      <c r="B1198" t="s">
        <v>53</v>
      </c>
      <c r="C1198" t="s">
        <v>45</v>
      </c>
      <c r="D1198" s="1">
        <v>4629</v>
      </c>
      <c r="E1198" s="1">
        <v>133126</v>
      </c>
      <c r="F1198" s="2">
        <v>194631</v>
      </c>
    </row>
    <row r="1199" spans="1:6" x14ac:dyDescent="0.75">
      <c r="A1199">
        <v>2023</v>
      </c>
      <c r="B1199" t="s">
        <v>53</v>
      </c>
      <c r="C1199" t="s">
        <v>46</v>
      </c>
      <c r="D1199">
        <v>789</v>
      </c>
      <c r="E1199" s="1">
        <v>8288</v>
      </c>
      <c r="F1199" s="2">
        <v>52508</v>
      </c>
    </row>
    <row r="1200" spans="1:6" x14ac:dyDescent="0.75">
      <c r="A1200">
        <v>2023</v>
      </c>
      <c r="B1200" t="s">
        <v>53</v>
      </c>
      <c r="C1200" t="s">
        <v>47</v>
      </c>
      <c r="D1200" s="1">
        <v>2298</v>
      </c>
      <c r="E1200" s="1">
        <v>47152</v>
      </c>
      <c r="F1200" s="2">
        <v>75414</v>
      </c>
    </row>
    <row r="1201" spans="1:6" x14ac:dyDescent="0.75">
      <c r="A1201">
        <v>2023</v>
      </c>
      <c r="B1201" t="s">
        <v>53</v>
      </c>
      <c r="C1201" t="s">
        <v>48</v>
      </c>
      <c r="D1201">
        <v>398</v>
      </c>
      <c r="E1201" s="1">
        <v>3554</v>
      </c>
      <c r="F1201" s="2">
        <v>47401</v>
      </c>
    </row>
    <row r="1202" spans="1:6" x14ac:dyDescent="0.75">
      <c r="A1202">
        <v>2023</v>
      </c>
      <c r="B1202" t="s">
        <v>56</v>
      </c>
      <c r="C1202" t="s">
        <v>1</v>
      </c>
      <c r="D1202" s="1">
        <v>13364</v>
      </c>
      <c r="E1202" s="1">
        <v>94561</v>
      </c>
      <c r="F1202" s="2">
        <v>69240</v>
      </c>
    </row>
    <row r="1203" spans="1:6" x14ac:dyDescent="0.75">
      <c r="A1203">
        <v>2023</v>
      </c>
      <c r="B1203" t="s">
        <v>56</v>
      </c>
      <c r="C1203" t="s">
        <v>2</v>
      </c>
      <c r="D1203" s="1">
        <v>17978</v>
      </c>
      <c r="E1203" s="1">
        <v>214637</v>
      </c>
      <c r="F1203" s="2">
        <v>70877</v>
      </c>
    </row>
    <row r="1204" spans="1:6" x14ac:dyDescent="0.75">
      <c r="A1204">
        <v>2023</v>
      </c>
      <c r="B1204" t="s">
        <v>56</v>
      </c>
      <c r="C1204" t="s">
        <v>3</v>
      </c>
      <c r="D1204" s="1">
        <v>8418</v>
      </c>
      <c r="E1204" s="1">
        <v>50647</v>
      </c>
      <c r="F1204" s="2">
        <v>58119</v>
      </c>
    </row>
    <row r="1205" spans="1:6" x14ac:dyDescent="0.75">
      <c r="A1205">
        <v>2023</v>
      </c>
      <c r="B1205" t="s">
        <v>56</v>
      </c>
      <c r="C1205" t="s">
        <v>4</v>
      </c>
      <c r="D1205" s="1">
        <v>106953</v>
      </c>
      <c r="E1205" s="1">
        <v>835896</v>
      </c>
      <c r="F1205" s="2">
        <v>107228</v>
      </c>
    </row>
    <row r="1206" spans="1:6" x14ac:dyDescent="0.75">
      <c r="A1206">
        <v>2023</v>
      </c>
      <c r="B1206" t="s">
        <v>56</v>
      </c>
      <c r="C1206" t="s">
        <v>5</v>
      </c>
      <c r="D1206" s="1">
        <v>23326</v>
      </c>
      <c r="E1206" s="1">
        <v>164801</v>
      </c>
      <c r="F1206" s="2">
        <v>84615</v>
      </c>
    </row>
    <row r="1207" spans="1:6" x14ac:dyDescent="0.75">
      <c r="A1207">
        <v>2023</v>
      </c>
      <c r="B1207" t="s">
        <v>56</v>
      </c>
      <c r="C1207" t="s">
        <v>6</v>
      </c>
      <c r="D1207" s="1">
        <v>10879</v>
      </c>
      <c r="E1207" s="1">
        <v>123655</v>
      </c>
      <c r="F1207" s="2">
        <v>155433</v>
      </c>
    </row>
    <row r="1208" spans="1:6" x14ac:dyDescent="0.75">
      <c r="A1208">
        <v>2023</v>
      </c>
      <c r="B1208" t="s">
        <v>56</v>
      </c>
      <c r="C1208" t="s">
        <v>7</v>
      </c>
      <c r="D1208" s="1">
        <v>2859</v>
      </c>
      <c r="E1208" s="1">
        <v>47609</v>
      </c>
      <c r="F1208" s="2">
        <v>95574</v>
      </c>
    </row>
    <row r="1209" spans="1:6" x14ac:dyDescent="0.75">
      <c r="A1209">
        <v>2023</v>
      </c>
      <c r="B1209" t="s">
        <v>56</v>
      </c>
      <c r="C1209" t="s">
        <v>8</v>
      </c>
      <c r="D1209" s="1">
        <v>73412</v>
      </c>
      <c r="E1209" s="1">
        <v>570645</v>
      </c>
      <c r="F1209" s="2">
        <v>75337</v>
      </c>
    </row>
    <row r="1210" spans="1:6" x14ac:dyDescent="0.75">
      <c r="A1210">
        <v>2023</v>
      </c>
      <c r="B1210" t="s">
        <v>56</v>
      </c>
      <c r="C1210" t="s">
        <v>9</v>
      </c>
      <c r="D1210" s="1">
        <v>26225</v>
      </c>
      <c r="E1210" s="1">
        <v>237900</v>
      </c>
      <c r="F1210" s="2">
        <v>84587</v>
      </c>
    </row>
    <row r="1211" spans="1:6" x14ac:dyDescent="0.75">
      <c r="A1211">
        <v>2023</v>
      </c>
      <c r="B1211" t="s">
        <v>56</v>
      </c>
      <c r="C1211" t="s">
        <v>10</v>
      </c>
      <c r="D1211" s="1">
        <v>5824</v>
      </c>
      <c r="E1211" s="1">
        <v>32493</v>
      </c>
      <c r="F1211" s="2">
        <v>56024</v>
      </c>
    </row>
    <row r="1212" spans="1:6" x14ac:dyDescent="0.75">
      <c r="A1212">
        <v>2023</v>
      </c>
      <c r="B1212" t="s">
        <v>56</v>
      </c>
      <c r="C1212" t="s">
        <v>11</v>
      </c>
      <c r="D1212" s="1">
        <v>32448</v>
      </c>
      <c r="E1212" s="1">
        <v>373685</v>
      </c>
      <c r="F1212" s="2">
        <v>109598</v>
      </c>
    </row>
    <row r="1213" spans="1:6" x14ac:dyDescent="0.75">
      <c r="A1213">
        <v>2023</v>
      </c>
      <c r="B1213" t="s">
        <v>56</v>
      </c>
      <c r="C1213" t="s">
        <v>12</v>
      </c>
      <c r="D1213" s="1">
        <v>16542</v>
      </c>
      <c r="E1213" s="1">
        <v>133603</v>
      </c>
      <c r="F1213" s="2">
        <v>65167</v>
      </c>
    </row>
    <row r="1214" spans="1:6" x14ac:dyDescent="0.75">
      <c r="A1214">
        <v>2023</v>
      </c>
      <c r="B1214" t="s">
        <v>56</v>
      </c>
      <c r="C1214" t="s">
        <v>13</v>
      </c>
      <c r="D1214" s="1">
        <v>10213</v>
      </c>
      <c r="E1214" s="1">
        <v>109030</v>
      </c>
      <c r="F1214" s="2">
        <v>73894</v>
      </c>
    </row>
    <row r="1215" spans="1:6" x14ac:dyDescent="0.75">
      <c r="A1215">
        <v>2023</v>
      </c>
      <c r="B1215" t="s">
        <v>56</v>
      </c>
      <c r="C1215" t="s">
        <v>14</v>
      </c>
      <c r="D1215" s="1">
        <v>8870</v>
      </c>
      <c r="E1215" s="1">
        <v>73500</v>
      </c>
      <c r="F1215" s="2">
        <v>67710</v>
      </c>
    </row>
    <row r="1216" spans="1:6" x14ac:dyDescent="0.75">
      <c r="A1216">
        <v>2023</v>
      </c>
      <c r="B1216" t="s">
        <v>56</v>
      </c>
      <c r="C1216" t="s">
        <v>15</v>
      </c>
      <c r="D1216" s="1">
        <v>11035</v>
      </c>
      <c r="E1216" s="1">
        <v>92881</v>
      </c>
      <c r="F1216" s="2">
        <v>67733</v>
      </c>
    </row>
    <row r="1217" spans="1:6" x14ac:dyDescent="0.75">
      <c r="A1217">
        <v>2023</v>
      </c>
      <c r="B1217" t="s">
        <v>56</v>
      </c>
      <c r="C1217" t="s">
        <v>16</v>
      </c>
      <c r="D1217" s="1">
        <v>13754</v>
      </c>
      <c r="E1217" s="1">
        <v>85071</v>
      </c>
      <c r="F1217" s="2">
        <v>62731</v>
      </c>
    </row>
    <row r="1218" spans="1:6" x14ac:dyDescent="0.75">
      <c r="A1218">
        <v>2023</v>
      </c>
      <c r="B1218" t="s">
        <v>56</v>
      </c>
      <c r="C1218" t="s">
        <v>17</v>
      </c>
      <c r="D1218" s="1">
        <v>3804</v>
      </c>
      <c r="E1218" s="1">
        <v>29811</v>
      </c>
      <c r="F1218" s="2">
        <v>68174</v>
      </c>
    </row>
    <row r="1219" spans="1:6" x14ac:dyDescent="0.75">
      <c r="A1219">
        <v>2023</v>
      </c>
      <c r="B1219" t="s">
        <v>56</v>
      </c>
      <c r="C1219" t="s">
        <v>18</v>
      </c>
      <c r="D1219" s="1">
        <v>15277</v>
      </c>
      <c r="E1219" s="1">
        <v>138261</v>
      </c>
      <c r="F1219" s="2">
        <v>94201</v>
      </c>
    </row>
    <row r="1220" spans="1:6" x14ac:dyDescent="0.75">
      <c r="A1220">
        <v>2023</v>
      </c>
      <c r="B1220" t="s">
        <v>56</v>
      </c>
      <c r="C1220" t="s">
        <v>19</v>
      </c>
      <c r="D1220" s="1">
        <v>17504</v>
      </c>
      <c r="E1220" s="1">
        <v>217151</v>
      </c>
      <c r="F1220" s="2">
        <v>144514</v>
      </c>
    </row>
    <row r="1221" spans="1:6" x14ac:dyDescent="0.75">
      <c r="A1221">
        <v>2023</v>
      </c>
      <c r="B1221" t="s">
        <v>56</v>
      </c>
      <c r="C1221" t="s">
        <v>20</v>
      </c>
      <c r="D1221" s="1">
        <v>19082</v>
      </c>
      <c r="E1221" s="1">
        <v>203261</v>
      </c>
      <c r="F1221" s="2">
        <v>71568</v>
      </c>
    </row>
    <row r="1222" spans="1:6" x14ac:dyDescent="0.75">
      <c r="A1222">
        <v>2023</v>
      </c>
      <c r="B1222" t="s">
        <v>56</v>
      </c>
      <c r="C1222" t="s">
        <v>21</v>
      </c>
      <c r="D1222" s="1">
        <v>15877</v>
      </c>
      <c r="E1222" s="1">
        <v>178309</v>
      </c>
      <c r="F1222" s="2">
        <v>95604</v>
      </c>
    </row>
    <row r="1223" spans="1:6" x14ac:dyDescent="0.75">
      <c r="A1223">
        <v>2023</v>
      </c>
      <c r="B1223" t="s">
        <v>56</v>
      </c>
      <c r="C1223" t="s">
        <v>22</v>
      </c>
      <c r="D1223" s="1">
        <v>7959</v>
      </c>
      <c r="E1223" s="1">
        <v>42911</v>
      </c>
      <c r="F1223" s="2">
        <v>53281</v>
      </c>
    </row>
    <row r="1224" spans="1:6" x14ac:dyDescent="0.75">
      <c r="A1224">
        <v>2023</v>
      </c>
      <c r="B1224" t="s">
        <v>56</v>
      </c>
      <c r="C1224" t="s">
        <v>23</v>
      </c>
      <c r="D1224" s="1">
        <v>17251</v>
      </c>
      <c r="E1224" s="1">
        <v>162755</v>
      </c>
      <c r="F1224" s="2">
        <v>72947</v>
      </c>
    </row>
    <row r="1225" spans="1:6" x14ac:dyDescent="0.75">
      <c r="A1225">
        <v>2023</v>
      </c>
      <c r="B1225" t="s">
        <v>56</v>
      </c>
      <c r="C1225" t="s">
        <v>24</v>
      </c>
      <c r="D1225" s="1">
        <v>4297</v>
      </c>
      <c r="E1225" s="1">
        <v>21204</v>
      </c>
      <c r="F1225" s="2">
        <v>59315</v>
      </c>
    </row>
    <row r="1226" spans="1:6" x14ac:dyDescent="0.75">
      <c r="A1226">
        <v>2023</v>
      </c>
      <c r="B1226" t="s">
        <v>56</v>
      </c>
      <c r="C1226" t="s">
        <v>25</v>
      </c>
      <c r="D1226" s="1">
        <v>6683</v>
      </c>
      <c r="E1226" s="1">
        <v>66245</v>
      </c>
      <c r="F1226" s="2">
        <v>66817</v>
      </c>
    </row>
    <row r="1227" spans="1:6" x14ac:dyDescent="0.75">
      <c r="A1227">
        <v>2023</v>
      </c>
      <c r="B1227" t="s">
        <v>56</v>
      </c>
      <c r="C1227" t="s">
        <v>26</v>
      </c>
      <c r="D1227" s="1">
        <v>9082</v>
      </c>
      <c r="E1227" s="1">
        <v>63303</v>
      </c>
      <c r="F1227" s="2">
        <v>66612</v>
      </c>
    </row>
    <row r="1228" spans="1:6" x14ac:dyDescent="0.75">
      <c r="A1228">
        <v>2023</v>
      </c>
      <c r="B1228" t="s">
        <v>56</v>
      </c>
      <c r="C1228" t="s">
        <v>27</v>
      </c>
      <c r="D1228" s="1">
        <v>3838</v>
      </c>
      <c r="E1228" s="1">
        <v>33486</v>
      </c>
      <c r="F1228" s="2">
        <v>94889</v>
      </c>
    </row>
    <row r="1229" spans="1:6" x14ac:dyDescent="0.75">
      <c r="A1229">
        <v>2023</v>
      </c>
      <c r="B1229" t="s">
        <v>56</v>
      </c>
      <c r="C1229" t="s">
        <v>28</v>
      </c>
      <c r="D1229" s="1">
        <v>19963</v>
      </c>
      <c r="E1229" s="1">
        <v>242994</v>
      </c>
      <c r="F1229" s="2">
        <v>115066</v>
      </c>
    </row>
    <row r="1230" spans="1:6" x14ac:dyDescent="0.75">
      <c r="A1230">
        <v>2023</v>
      </c>
      <c r="B1230" t="s">
        <v>56</v>
      </c>
      <c r="C1230" t="s">
        <v>29</v>
      </c>
      <c r="D1230" s="1">
        <v>5293</v>
      </c>
      <c r="E1230" s="1">
        <v>32955</v>
      </c>
      <c r="F1230" s="2">
        <v>56048</v>
      </c>
    </row>
    <row r="1231" spans="1:6" x14ac:dyDescent="0.75">
      <c r="A1231">
        <v>2023</v>
      </c>
      <c r="B1231" t="s">
        <v>56</v>
      </c>
      <c r="C1231" t="s">
        <v>30</v>
      </c>
      <c r="D1231" s="1">
        <v>64317</v>
      </c>
      <c r="E1231" s="1">
        <v>714540</v>
      </c>
      <c r="F1231" s="2">
        <v>186871</v>
      </c>
    </row>
    <row r="1232" spans="1:6" x14ac:dyDescent="0.75">
      <c r="A1232">
        <v>2023</v>
      </c>
      <c r="B1232" t="s">
        <v>56</v>
      </c>
      <c r="C1232" t="s">
        <v>31</v>
      </c>
      <c r="D1232" s="1">
        <v>27776</v>
      </c>
      <c r="E1232" s="1">
        <v>233277</v>
      </c>
      <c r="F1232" s="2">
        <v>87311</v>
      </c>
    </row>
    <row r="1233" spans="1:6" x14ac:dyDescent="0.75">
      <c r="A1233">
        <v>2023</v>
      </c>
      <c r="B1233" t="s">
        <v>56</v>
      </c>
      <c r="C1233" t="s">
        <v>32</v>
      </c>
      <c r="D1233" s="1">
        <v>2995</v>
      </c>
      <c r="E1233" s="1">
        <v>23145</v>
      </c>
      <c r="F1233" s="2">
        <v>63251</v>
      </c>
    </row>
    <row r="1234" spans="1:6" x14ac:dyDescent="0.75">
      <c r="A1234">
        <v>2023</v>
      </c>
      <c r="B1234" t="s">
        <v>56</v>
      </c>
      <c r="C1234" t="s">
        <v>33</v>
      </c>
      <c r="D1234" s="1">
        <v>28783</v>
      </c>
      <c r="E1234" s="1">
        <v>293549</v>
      </c>
      <c r="F1234" s="2">
        <v>72736</v>
      </c>
    </row>
    <row r="1235" spans="1:6" x14ac:dyDescent="0.75">
      <c r="A1235">
        <v>2023</v>
      </c>
      <c r="B1235" t="s">
        <v>56</v>
      </c>
      <c r="C1235" t="s">
        <v>34</v>
      </c>
      <c r="D1235" s="1">
        <v>11458</v>
      </c>
      <c r="E1235" s="1">
        <v>77052</v>
      </c>
      <c r="F1235" s="2">
        <v>58044</v>
      </c>
    </row>
    <row r="1236" spans="1:6" x14ac:dyDescent="0.75">
      <c r="A1236">
        <v>2023</v>
      </c>
      <c r="B1236" t="s">
        <v>56</v>
      </c>
      <c r="C1236" t="s">
        <v>35</v>
      </c>
      <c r="D1236" s="1">
        <v>13030</v>
      </c>
      <c r="E1236" s="1">
        <v>84865</v>
      </c>
      <c r="F1236" s="2">
        <v>69649</v>
      </c>
    </row>
    <row r="1237" spans="1:6" x14ac:dyDescent="0.75">
      <c r="A1237">
        <v>2023</v>
      </c>
      <c r="B1237" t="s">
        <v>56</v>
      </c>
      <c r="C1237" t="s">
        <v>36</v>
      </c>
      <c r="D1237" s="1">
        <v>28823</v>
      </c>
      <c r="E1237" s="1">
        <v>325130</v>
      </c>
      <c r="F1237" s="2">
        <v>88831</v>
      </c>
    </row>
    <row r="1238" spans="1:6" x14ac:dyDescent="0.75">
      <c r="A1238">
        <v>2023</v>
      </c>
      <c r="B1238" t="s">
        <v>56</v>
      </c>
      <c r="C1238" t="s">
        <v>37</v>
      </c>
      <c r="D1238" s="1">
        <v>2869</v>
      </c>
      <c r="E1238" s="1">
        <v>32305</v>
      </c>
      <c r="F1238" s="2">
        <v>88061</v>
      </c>
    </row>
    <row r="1239" spans="1:6" x14ac:dyDescent="0.75">
      <c r="A1239">
        <v>2023</v>
      </c>
      <c r="B1239" t="s">
        <v>56</v>
      </c>
      <c r="C1239" t="s">
        <v>38</v>
      </c>
      <c r="D1239" s="1">
        <v>13166</v>
      </c>
      <c r="E1239" s="1">
        <v>100794</v>
      </c>
      <c r="F1239" s="2">
        <v>61713</v>
      </c>
    </row>
    <row r="1240" spans="1:6" x14ac:dyDescent="0.75">
      <c r="A1240">
        <v>2023</v>
      </c>
      <c r="B1240" t="s">
        <v>56</v>
      </c>
      <c r="C1240" t="s">
        <v>39</v>
      </c>
      <c r="D1240" s="1">
        <v>3259</v>
      </c>
      <c r="E1240" s="1">
        <v>28739</v>
      </c>
      <c r="F1240" s="2">
        <v>60160</v>
      </c>
    </row>
    <row r="1241" spans="1:6" x14ac:dyDescent="0.75">
      <c r="A1241">
        <v>2023</v>
      </c>
      <c r="B1241" t="s">
        <v>56</v>
      </c>
      <c r="C1241" t="s">
        <v>40</v>
      </c>
      <c r="D1241" s="1">
        <v>15698</v>
      </c>
      <c r="E1241" s="1">
        <v>150833</v>
      </c>
      <c r="F1241" s="2">
        <v>76718</v>
      </c>
    </row>
    <row r="1242" spans="1:6" x14ac:dyDescent="0.75">
      <c r="A1242">
        <v>2023</v>
      </c>
      <c r="B1242" t="s">
        <v>56</v>
      </c>
      <c r="C1242" t="s">
        <v>41</v>
      </c>
      <c r="D1242" s="1">
        <v>73679</v>
      </c>
      <c r="E1242" s="1">
        <v>756318</v>
      </c>
      <c r="F1242" s="2">
        <v>83356</v>
      </c>
    </row>
    <row r="1243" spans="1:6" x14ac:dyDescent="0.75">
      <c r="A1243">
        <v>2023</v>
      </c>
      <c r="B1243" t="s">
        <v>56</v>
      </c>
      <c r="C1243" t="s">
        <v>42</v>
      </c>
      <c r="D1243" s="1">
        <v>11520</v>
      </c>
      <c r="E1243" s="1">
        <v>87530</v>
      </c>
      <c r="F1243" s="2">
        <v>67933</v>
      </c>
    </row>
    <row r="1244" spans="1:6" x14ac:dyDescent="0.75">
      <c r="A1244">
        <v>2023</v>
      </c>
      <c r="B1244" t="s">
        <v>56</v>
      </c>
      <c r="C1244" t="s">
        <v>43</v>
      </c>
      <c r="D1244" s="1">
        <v>1694</v>
      </c>
      <c r="E1244" s="1">
        <v>11814</v>
      </c>
      <c r="F1244" s="2">
        <v>72078</v>
      </c>
    </row>
    <row r="1245" spans="1:6" x14ac:dyDescent="0.75">
      <c r="A1245">
        <v>2023</v>
      </c>
      <c r="B1245" t="s">
        <v>56</v>
      </c>
      <c r="C1245" t="s">
        <v>44</v>
      </c>
      <c r="D1245" s="1">
        <v>21938</v>
      </c>
      <c r="E1245" s="1">
        <v>194731</v>
      </c>
      <c r="F1245" s="2">
        <v>85723</v>
      </c>
    </row>
    <row r="1246" spans="1:6" x14ac:dyDescent="0.75">
      <c r="A1246">
        <v>2023</v>
      </c>
      <c r="B1246" t="s">
        <v>56</v>
      </c>
      <c r="C1246" t="s">
        <v>45</v>
      </c>
      <c r="D1246" s="1">
        <v>17577</v>
      </c>
      <c r="E1246" s="1">
        <v>147871</v>
      </c>
      <c r="F1246" s="2">
        <v>80466</v>
      </c>
    </row>
    <row r="1247" spans="1:6" x14ac:dyDescent="0.75">
      <c r="A1247">
        <v>2023</v>
      </c>
      <c r="B1247" t="s">
        <v>56</v>
      </c>
      <c r="C1247" t="s">
        <v>46</v>
      </c>
      <c r="D1247" s="1">
        <v>4029</v>
      </c>
      <c r="E1247" s="1">
        <v>24510</v>
      </c>
      <c r="F1247" s="2">
        <v>53206</v>
      </c>
    </row>
    <row r="1248" spans="1:6" x14ac:dyDescent="0.75">
      <c r="A1248">
        <v>2023</v>
      </c>
      <c r="B1248" t="s">
        <v>56</v>
      </c>
      <c r="C1248" t="s">
        <v>47</v>
      </c>
      <c r="D1248" s="1">
        <v>13917</v>
      </c>
      <c r="E1248" s="1">
        <v>148837</v>
      </c>
      <c r="F1248" s="2">
        <v>71561</v>
      </c>
    </row>
    <row r="1249" spans="1:6" x14ac:dyDescent="0.75">
      <c r="A1249">
        <v>2023</v>
      </c>
      <c r="B1249" t="s">
        <v>56</v>
      </c>
      <c r="C1249" t="s">
        <v>48</v>
      </c>
      <c r="D1249" s="1">
        <v>2283</v>
      </c>
      <c r="E1249" s="1">
        <v>11124</v>
      </c>
      <c r="F1249" s="2">
        <v>57486</v>
      </c>
    </row>
    <row r="1250" spans="1:6" x14ac:dyDescent="0.75">
      <c r="A1250">
        <v>2023</v>
      </c>
      <c r="B1250" t="s">
        <v>57</v>
      </c>
      <c r="C1250" t="s">
        <v>1</v>
      </c>
      <c r="D1250" s="1">
        <v>21888</v>
      </c>
      <c r="E1250" s="1">
        <v>245234</v>
      </c>
      <c r="F1250" s="2">
        <v>55653</v>
      </c>
    </row>
    <row r="1251" spans="1:6" x14ac:dyDescent="0.75">
      <c r="A1251">
        <v>2023</v>
      </c>
      <c r="B1251" t="s">
        <v>57</v>
      </c>
      <c r="C1251" t="s">
        <v>2</v>
      </c>
      <c r="D1251" s="1">
        <v>35993</v>
      </c>
      <c r="E1251" s="1">
        <v>430516</v>
      </c>
      <c r="F1251" s="2">
        <v>56745</v>
      </c>
    </row>
    <row r="1252" spans="1:6" x14ac:dyDescent="0.75">
      <c r="A1252">
        <v>2023</v>
      </c>
      <c r="B1252" t="s">
        <v>57</v>
      </c>
      <c r="C1252" t="s">
        <v>3</v>
      </c>
      <c r="D1252" s="1">
        <v>14308</v>
      </c>
      <c r="E1252" s="1">
        <v>146700</v>
      </c>
      <c r="F1252" s="2">
        <v>60316</v>
      </c>
    </row>
    <row r="1253" spans="1:6" x14ac:dyDescent="0.75">
      <c r="A1253">
        <v>2023</v>
      </c>
      <c r="B1253" t="s">
        <v>57</v>
      </c>
      <c r="C1253" t="s">
        <v>4</v>
      </c>
      <c r="D1253" s="1">
        <v>208425</v>
      </c>
      <c r="E1253" s="1">
        <v>2667839</v>
      </c>
      <c r="F1253" s="2">
        <v>91070</v>
      </c>
    </row>
    <row r="1254" spans="1:6" x14ac:dyDescent="0.75">
      <c r="A1254">
        <v>2023</v>
      </c>
      <c r="B1254" t="s">
        <v>57</v>
      </c>
      <c r="C1254" t="s">
        <v>5</v>
      </c>
      <c r="D1254" s="1">
        <v>52525</v>
      </c>
      <c r="E1254" s="1">
        <v>423946</v>
      </c>
      <c r="F1254" s="2">
        <v>81401</v>
      </c>
    </row>
    <row r="1255" spans="1:6" x14ac:dyDescent="0.75">
      <c r="A1255">
        <v>2023</v>
      </c>
      <c r="B1255" t="s">
        <v>57</v>
      </c>
      <c r="C1255" t="s">
        <v>6</v>
      </c>
      <c r="D1255" s="1">
        <v>23279</v>
      </c>
      <c r="E1255" s="1">
        <v>221029</v>
      </c>
      <c r="F1255" s="2">
        <v>87958</v>
      </c>
    </row>
    <row r="1256" spans="1:6" x14ac:dyDescent="0.75">
      <c r="A1256">
        <v>2023</v>
      </c>
      <c r="B1256" t="s">
        <v>57</v>
      </c>
      <c r="C1256" t="s">
        <v>7</v>
      </c>
      <c r="D1256" s="1">
        <v>8956</v>
      </c>
      <c r="E1256" s="1">
        <v>63405</v>
      </c>
      <c r="F1256" s="2">
        <v>80066</v>
      </c>
    </row>
    <row r="1257" spans="1:6" x14ac:dyDescent="0.75">
      <c r="A1257">
        <v>2023</v>
      </c>
      <c r="B1257" t="s">
        <v>57</v>
      </c>
      <c r="C1257" t="s">
        <v>8</v>
      </c>
      <c r="D1257" s="1">
        <v>161890</v>
      </c>
      <c r="E1257" s="1">
        <v>1365136</v>
      </c>
      <c r="F1257" s="2">
        <v>60914</v>
      </c>
    </row>
    <row r="1258" spans="1:6" x14ac:dyDescent="0.75">
      <c r="A1258">
        <v>2023</v>
      </c>
      <c r="B1258" t="s">
        <v>57</v>
      </c>
      <c r="C1258" t="s">
        <v>9</v>
      </c>
      <c r="D1258" s="1">
        <v>54714</v>
      </c>
      <c r="E1258" s="1">
        <v>687321</v>
      </c>
      <c r="F1258" s="2">
        <v>66989</v>
      </c>
    </row>
    <row r="1259" spans="1:6" x14ac:dyDescent="0.75">
      <c r="A1259">
        <v>2023</v>
      </c>
      <c r="B1259" t="s">
        <v>57</v>
      </c>
      <c r="C1259" t="s">
        <v>10</v>
      </c>
      <c r="D1259" s="1">
        <v>11562</v>
      </c>
      <c r="E1259" s="1">
        <v>91631</v>
      </c>
      <c r="F1259" s="2">
        <v>51695</v>
      </c>
    </row>
    <row r="1260" spans="1:6" x14ac:dyDescent="0.75">
      <c r="A1260">
        <v>2023</v>
      </c>
      <c r="B1260" t="s">
        <v>57</v>
      </c>
      <c r="C1260" t="s">
        <v>11</v>
      </c>
      <c r="D1260" s="1">
        <v>74587</v>
      </c>
      <c r="E1260" s="1">
        <v>948766</v>
      </c>
      <c r="F1260" s="2">
        <v>76586</v>
      </c>
    </row>
    <row r="1261" spans="1:6" x14ac:dyDescent="0.75">
      <c r="A1261">
        <v>2023</v>
      </c>
      <c r="B1261" t="s">
        <v>57</v>
      </c>
      <c r="C1261" t="s">
        <v>12</v>
      </c>
      <c r="D1261" s="1">
        <v>29755</v>
      </c>
      <c r="E1261" s="1">
        <v>342835</v>
      </c>
      <c r="F1261" s="2">
        <v>52468</v>
      </c>
    </row>
    <row r="1262" spans="1:6" x14ac:dyDescent="0.75">
      <c r="A1262">
        <v>2023</v>
      </c>
      <c r="B1262" t="s">
        <v>57</v>
      </c>
      <c r="C1262" t="s">
        <v>13</v>
      </c>
      <c r="D1262" s="1">
        <v>15839</v>
      </c>
      <c r="E1262" s="1">
        <v>140535</v>
      </c>
      <c r="F1262" s="2">
        <v>54071</v>
      </c>
    </row>
    <row r="1263" spans="1:6" x14ac:dyDescent="0.75">
      <c r="A1263">
        <v>2023</v>
      </c>
      <c r="B1263" t="s">
        <v>57</v>
      </c>
      <c r="C1263" t="s">
        <v>14</v>
      </c>
      <c r="D1263" s="1">
        <v>16731</v>
      </c>
      <c r="E1263" s="1">
        <v>179413</v>
      </c>
      <c r="F1263" s="2">
        <v>61288</v>
      </c>
    </row>
    <row r="1264" spans="1:6" x14ac:dyDescent="0.75">
      <c r="A1264">
        <v>2023</v>
      </c>
      <c r="B1264" t="s">
        <v>57</v>
      </c>
      <c r="C1264" t="s">
        <v>15</v>
      </c>
      <c r="D1264" s="1">
        <v>20542</v>
      </c>
      <c r="E1264" s="1">
        <v>217081</v>
      </c>
      <c r="F1264" s="2">
        <v>50087</v>
      </c>
    </row>
    <row r="1265" spans="1:6" x14ac:dyDescent="0.75">
      <c r="A1265">
        <v>2023</v>
      </c>
      <c r="B1265" t="s">
        <v>57</v>
      </c>
      <c r="C1265" t="s">
        <v>16</v>
      </c>
      <c r="D1265" s="1">
        <v>24537</v>
      </c>
      <c r="E1265" s="1">
        <v>213171</v>
      </c>
      <c r="F1265" s="2">
        <v>56446</v>
      </c>
    </row>
    <row r="1266" spans="1:6" x14ac:dyDescent="0.75">
      <c r="A1266">
        <v>2023</v>
      </c>
      <c r="B1266" t="s">
        <v>57</v>
      </c>
      <c r="C1266" t="s">
        <v>17</v>
      </c>
      <c r="D1266" s="1">
        <v>9940</v>
      </c>
      <c r="E1266" s="1">
        <v>69285</v>
      </c>
      <c r="F1266" s="2">
        <v>57328</v>
      </c>
    </row>
    <row r="1267" spans="1:6" x14ac:dyDescent="0.75">
      <c r="A1267">
        <v>2023</v>
      </c>
      <c r="B1267" t="s">
        <v>57</v>
      </c>
      <c r="C1267" t="s">
        <v>18</v>
      </c>
      <c r="D1267" s="1">
        <v>42809</v>
      </c>
      <c r="E1267" s="1">
        <v>452753</v>
      </c>
      <c r="F1267" s="2">
        <v>79500</v>
      </c>
    </row>
    <row r="1268" spans="1:6" x14ac:dyDescent="0.75">
      <c r="A1268">
        <v>2023</v>
      </c>
      <c r="B1268" t="s">
        <v>57</v>
      </c>
      <c r="C1268" t="s">
        <v>19</v>
      </c>
      <c r="D1268" s="1">
        <v>47416</v>
      </c>
      <c r="E1268" s="1">
        <v>587518</v>
      </c>
      <c r="F1268" s="2">
        <v>107875</v>
      </c>
    </row>
    <row r="1269" spans="1:6" x14ac:dyDescent="0.75">
      <c r="A1269">
        <v>2023</v>
      </c>
      <c r="B1269" t="s">
        <v>57</v>
      </c>
      <c r="C1269" t="s">
        <v>20</v>
      </c>
      <c r="D1269" s="1">
        <v>42545</v>
      </c>
      <c r="E1269" s="1">
        <v>657930</v>
      </c>
      <c r="F1269" s="2">
        <v>69377</v>
      </c>
    </row>
    <row r="1270" spans="1:6" x14ac:dyDescent="0.75">
      <c r="A1270">
        <v>2023</v>
      </c>
      <c r="B1270" t="s">
        <v>57</v>
      </c>
      <c r="C1270" t="s">
        <v>21</v>
      </c>
      <c r="D1270" s="1">
        <v>32020</v>
      </c>
      <c r="E1270" s="1">
        <v>378493</v>
      </c>
      <c r="F1270" s="2">
        <v>82535</v>
      </c>
    </row>
    <row r="1271" spans="1:6" x14ac:dyDescent="0.75">
      <c r="A1271">
        <v>2023</v>
      </c>
      <c r="B1271" t="s">
        <v>57</v>
      </c>
      <c r="C1271" t="s">
        <v>22</v>
      </c>
      <c r="D1271" s="1">
        <v>12259</v>
      </c>
      <c r="E1271" s="1">
        <v>109842</v>
      </c>
      <c r="F1271" s="2">
        <v>42132</v>
      </c>
    </row>
    <row r="1272" spans="1:6" x14ac:dyDescent="0.75">
      <c r="A1272">
        <v>2023</v>
      </c>
      <c r="B1272" t="s">
        <v>57</v>
      </c>
      <c r="C1272" t="s">
        <v>23</v>
      </c>
      <c r="D1272" s="1">
        <v>32577</v>
      </c>
      <c r="E1272" s="1">
        <v>385727</v>
      </c>
      <c r="F1272" s="2">
        <v>66429</v>
      </c>
    </row>
    <row r="1273" spans="1:6" x14ac:dyDescent="0.75">
      <c r="A1273">
        <v>2023</v>
      </c>
      <c r="B1273" t="s">
        <v>57</v>
      </c>
      <c r="C1273" t="s">
        <v>24</v>
      </c>
      <c r="D1273" s="1">
        <v>9359</v>
      </c>
      <c r="E1273" s="1">
        <v>42410</v>
      </c>
      <c r="F1273" s="2">
        <v>52271</v>
      </c>
    </row>
    <row r="1274" spans="1:6" x14ac:dyDescent="0.75">
      <c r="A1274">
        <v>2023</v>
      </c>
      <c r="B1274" t="s">
        <v>57</v>
      </c>
      <c r="C1274" t="s">
        <v>25</v>
      </c>
      <c r="D1274" s="1">
        <v>11582</v>
      </c>
      <c r="E1274" s="1">
        <v>119167</v>
      </c>
      <c r="F1274" s="2">
        <v>58836</v>
      </c>
    </row>
    <row r="1275" spans="1:6" x14ac:dyDescent="0.75">
      <c r="A1275">
        <v>2023</v>
      </c>
      <c r="B1275" t="s">
        <v>57</v>
      </c>
      <c r="C1275" t="s">
        <v>26</v>
      </c>
      <c r="D1275" s="1">
        <v>19970</v>
      </c>
      <c r="E1275" s="1">
        <v>190736</v>
      </c>
      <c r="F1275" s="2">
        <v>61821</v>
      </c>
    </row>
    <row r="1276" spans="1:6" x14ac:dyDescent="0.75">
      <c r="A1276">
        <v>2023</v>
      </c>
      <c r="B1276" t="s">
        <v>57</v>
      </c>
      <c r="C1276" t="s">
        <v>27</v>
      </c>
      <c r="D1276" s="1">
        <v>12323</v>
      </c>
      <c r="E1276" s="1">
        <v>82831</v>
      </c>
      <c r="F1276" s="2">
        <v>77486</v>
      </c>
    </row>
    <row r="1277" spans="1:6" x14ac:dyDescent="0.75">
      <c r="A1277">
        <v>2023</v>
      </c>
      <c r="B1277" t="s">
        <v>57</v>
      </c>
      <c r="C1277" t="s">
        <v>28</v>
      </c>
      <c r="D1277" s="1">
        <v>51837</v>
      </c>
      <c r="E1277" s="1">
        <v>671419</v>
      </c>
      <c r="F1277" s="2">
        <v>90784</v>
      </c>
    </row>
    <row r="1278" spans="1:6" x14ac:dyDescent="0.75">
      <c r="A1278">
        <v>2023</v>
      </c>
      <c r="B1278" t="s">
        <v>57</v>
      </c>
      <c r="C1278" t="s">
        <v>29</v>
      </c>
      <c r="D1278" s="1">
        <v>10669</v>
      </c>
      <c r="E1278" s="1">
        <v>106930</v>
      </c>
      <c r="F1278" s="2">
        <v>61899</v>
      </c>
    </row>
    <row r="1279" spans="1:6" x14ac:dyDescent="0.75">
      <c r="A1279">
        <v>2023</v>
      </c>
      <c r="B1279" t="s">
        <v>57</v>
      </c>
      <c r="C1279" t="s">
        <v>30</v>
      </c>
      <c r="D1279" s="1">
        <v>112471</v>
      </c>
      <c r="E1279" s="1">
        <v>1339421</v>
      </c>
      <c r="F1279" s="2">
        <v>95057</v>
      </c>
    </row>
    <row r="1280" spans="1:6" x14ac:dyDescent="0.75">
      <c r="A1280">
        <v>2023</v>
      </c>
      <c r="B1280" t="s">
        <v>57</v>
      </c>
      <c r="C1280" t="s">
        <v>31</v>
      </c>
      <c r="D1280" s="1">
        <v>58892</v>
      </c>
      <c r="E1280" s="1">
        <v>635554</v>
      </c>
      <c r="F1280" s="2">
        <v>65609</v>
      </c>
    </row>
    <row r="1281" spans="1:6" x14ac:dyDescent="0.75">
      <c r="A1281">
        <v>2023</v>
      </c>
      <c r="B1281" t="s">
        <v>57</v>
      </c>
      <c r="C1281" t="s">
        <v>32</v>
      </c>
      <c r="D1281" s="1">
        <v>5130</v>
      </c>
      <c r="E1281" s="1">
        <v>34560</v>
      </c>
      <c r="F1281" s="2">
        <v>61774</v>
      </c>
    </row>
    <row r="1282" spans="1:6" x14ac:dyDescent="0.75">
      <c r="A1282">
        <v>2023</v>
      </c>
      <c r="B1282" t="s">
        <v>57</v>
      </c>
      <c r="C1282" t="s">
        <v>33</v>
      </c>
      <c r="D1282" s="1">
        <v>53280</v>
      </c>
      <c r="E1282" s="1">
        <v>729430</v>
      </c>
      <c r="F1282" s="2">
        <v>64006</v>
      </c>
    </row>
    <row r="1283" spans="1:6" x14ac:dyDescent="0.75">
      <c r="A1283">
        <v>2023</v>
      </c>
      <c r="B1283" t="s">
        <v>57</v>
      </c>
      <c r="C1283" t="s">
        <v>34</v>
      </c>
      <c r="D1283" s="1">
        <v>20594</v>
      </c>
      <c r="E1283" s="1">
        <v>191261</v>
      </c>
      <c r="F1283" s="2">
        <v>52227</v>
      </c>
    </row>
    <row r="1284" spans="1:6" x14ac:dyDescent="0.75">
      <c r="A1284">
        <v>2023</v>
      </c>
      <c r="B1284" t="s">
        <v>57</v>
      </c>
      <c r="C1284" t="s">
        <v>35</v>
      </c>
      <c r="D1284" s="1">
        <v>25462</v>
      </c>
      <c r="E1284" s="1">
        <v>248627</v>
      </c>
      <c r="F1284" s="2">
        <v>69806</v>
      </c>
    </row>
    <row r="1285" spans="1:6" x14ac:dyDescent="0.75">
      <c r="A1285">
        <v>2023</v>
      </c>
      <c r="B1285" t="s">
        <v>57</v>
      </c>
      <c r="C1285" t="s">
        <v>36</v>
      </c>
      <c r="D1285" s="1">
        <v>63415</v>
      </c>
      <c r="E1285" s="1">
        <v>806555</v>
      </c>
      <c r="F1285" s="2">
        <v>78092</v>
      </c>
    </row>
    <row r="1286" spans="1:6" x14ac:dyDescent="0.75">
      <c r="A1286">
        <v>2023</v>
      </c>
      <c r="B1286" t="s">
        <v>57</v>
      </c>
      <c r="C1286" t="s">
        <v>37</v>
      </c>
      <c r="D1286" s="1">
        <v>8651</v>
      </c>
      <c r="E1286" s="1">
        <v>68430</v>
      </c>
      <c r="F1286" s="2">
        <v>68957</v>
      </c>
    </row>
    <row r="1287" spans="1:6" x14ac:dyDescent="0.75">
      <c r="A1287">
        <v>2023</v>
      </c>
      <c r="B1287" t="s">
        <v>57</v>
      </c>
      <c r="C1287" t="s">
        <v>38</v>
      </c>
      <c r="D1287" s="1">
        <v>26993</v>
      </c>
      <c r="E1287" s="1">
        <v>293499</v>
      </c>
      <c r="F1287" s="2">
        <v>50391</v>
      </c>
    </row>
    <row r="1288" spans="1:6" x14ac:dyDescent="0.75">
      <c r="A1288">
        <v>2023</v>
      </c>
      <c r="B1288" t="s">
        <v>57</v>
      </c>
      <c r="C1288" t="s">
        <v>39</v>
      </c>
      <c r="D1288" s="1">
        <v>5205</v>
      </c>
      <c r="E1288" s="1">
        <v>32354</v>
      </c>
      <c r="F1288" s="2">
        <v>56384</v>
      </c>
    </row>
    <row r="1289" spans="1:6" x14ac:dyDescent="0.75">
      <c r="A1289">
        <v>2023</v>
      </c>
      <c r="B1289" t="s">
        <v>57</v>
      </c>
      <c r="C1289" t="s">
        <v>40</v>
      </c>
      <c r="D1289" s="1">
        <v>29519</v>
      </c>
      <c r="E1289" s="1">
        <v>417345</v>
      </c>
      <c r="F1289" s="2">
        <v>59851</v>
      </c>
    </row>
    <row r="1290" spans="1:6" x14ac:dyDescent="0.75">
      <c r="A1290">
        <v>2023</v>
      </c>
      <c r="B1290" t="s">
        <v>57</v>
      </c>
      <c r="C1290" t="s">
        <v>41</v>
      </c>
      <c r="D1290" s="1">
        <v>134025</v>
      </c>
      <c r="E1290" s="1">
        <v>1736415</v>
      </c>
      <c r="F1290" s="2">
        <v>74443</v>
      </c>
    </row>
    <row r="1291" spans="1:6" x14ac:dyDescent="0.75">
      <c r="A1291">
        <v>2023</v>
      </c>
      <c r="B1291" t="s">
        <v>57</v>
      </c>
      <c r="C1291" t="s">
        <v>42</v>
      </c>
      <c r="D1291" s="1">
        <v>23036</v>
      </c>
      <c r="E1291" s="1">
        <v>215564</v>
      </c>
      <c r="F1291" s="2">
        <v>59543</v>
      </c>
    </row>
    <row r="1292" spans="1:6" x14ac:dyDescent="0.75">
      <c r="A1292">
        <v>2023</v>
      </c>
      <c r="B1292" t="s">
        <v>57</v>
      </c>
      <c r="C1292" t="s">
        <v>43</v>
      </c>
      <c r="D1292" s="1">
        <v>5661</v>
      </c>
      <c r="E1292" s="1">
        <v>28976</v>
      </c>
      <c r="F1292" s="2">
        <v>64917</v>
      </c>
    </row>
    <row r="1293" spans="1:6" x14ac:dyDescent="0.75">
      <c r="A1293">
        <v>2023</v>
      </c>
      <c r="B1293" t="s">
        <v>57</v>
      </c>
      <c r="C1293" t="s">
        <v>44</v>
      </c>
      <c r="D1293" s="1">
        <v>58849</v>
      </c>
      <c r="E1293" s="1">
        <v>746452</v>
      </c>
      <c r="F1293" s="2">
        <v>87511</v>
      </c>
    </row>
    <row r="1294" spans="1:6" x14ac:dyDescent="0.75">
      <c r="A1294">
        <v>2023</v>
      </c>
      <c r="B1294" t="s">
        <v>57</v>
      </c>
      <c r="C1294" t="s">
        <v>45</v>
      </c>
      <c r="D1294" s="1">
        <v>40209</v>
      </c>
      <c r="E1294" s="1">
        <v>414712</v>
      </c>
      <c r="F1294" s="2">
        <v>82245</v>
      </c>
    </row>
    <row r="1295" spans="1:6" x14ac:dyDescent="0.75">
      <c r="A1295">
        <v>2023</v>
      </c>
      <c r="B1295" t="s">
        <v>57</v>
      </c>
      <c r="C1295" t="s">
        <v>46</v>
      </c>
      <c r="D1295" s="1">
        <v>8323</v>
      </c>
      <c r="E1295" s="1">
        <v>68965</v>
      </c>
      <c r="F1295" s="2">
        <v>51745</v>
      </c>
    </row>
    <row r="1296" spans="1:6" x14ac:dyDescent="0.75">
      <c r="A1296">
        <v>2023</v>
      </c>
      <c r="B1296" t="s">
        <v>57</v>
      </c>
      <c r="C1296" t="s">
        <v>47</v>
      </c>
      <c r="D1296" s="1">
        <v>25856</v>
      </c>
      <c r="E1296" s="1">
        <v>327719</v>
      </c>
      <c r="F1296" s="2">
        <v>60773</v>
      </c>
    </row>
    <row r="1297" spans="1:6" x14ac:dyDescent="0.75">
      <c r="A1297">
        <v>2023</v>
      </c>
      <c r="B1297" t="s">
        <v>57</v>
      </c>
      <c r="C1297" t="s">
        <v>48</v>
      </c>
      <c r="D1297" s="1">
        <v>4559</v>
      </c>
      <c r="E1297" s="1">
        <v>18733</v>
      </c>
      <c r="F1297" s="2">
        <v>52783</v>
      </c>
    </row>
    <row r="1298" spans="1:6" x14ac:dyDescent="0.75">
      <c r="A1298">
        <v>2023</v>
      </c>
      <c r="B1298" t="s">
        <v>58</v>
      </c>
      <c r="C1298" t="s">
        <v>1</v>
      </c>
      <c r="D1298" s="1">
        <v>12678</v>
      </c>
      <c r="E1298" s="1">
        <v>233306</v>
      </c>
      <c r="F1298" s="2">
        <v>46432</v>
      </c>
    </row>
    <row r="1299" spans="1:6" x14ac:dyDescent="0.75">
      <c r="A1299">
        <v>2023</v>
      </c>
      <c r="B1299" t="s">
        <v>58</v>
      </c>
      <c r="C1299" t="s">
        <v>2</v>
      </c>
      <c r="D1299" s="1">
        <v>18037</v>
      </c>
      <c r="E1299" s="1">
        <v>440616</v>
      </c>
      <c r="F1299" s="2">
        <v>51125</v>
      </c>
    </row>
    <row r="1300" spans="1:6" x14ac:dyDescent="0.75">
      <c r="A1300">
        <v>2023</v>
      </c>
      <c r="B1300" t="s">
        <v>58</v>
      </c>
      <c r="C1300" t="s">
        <v>3</v>
      </c>
      <c r="D1300" s="1">
        <v>15788</v>
      </c>
      <c r="E1300" s="1">
        <v>186119</v>
      </c>
      <c r="F1300" s="2">
        <v>42468</v>
      </c>
    </row>
    <row r="1301" spans="1:6" x14ac:dyDescent="0.75">
      <c r="A1301">
        <v>2023</v>
      </c>
      <c r="B1301" t="s">
        <v>58</v>
      </c>
      <c r="C1301" t="s">
        <v>4</v>
      </c>
      <c r="D1301" s="1">
        <v>618901</v>
      </c>
      <c r="E1301" s="1">
        <v>2649228</v>
      </c>
      <c r="F1301" s="2">
        <v>52187</v>
      </c>
    </row>
    <row r="1302" spans="1:6" x14ac:dyDescent="0.75">
      <c r="A1302">
        <v>2023</v>
      </c>
      <c r="B1302" t="s">
        <v>58</v>
      </c>
      <c r="C1302" t="s">
        <v>5</v>
      </c>
      <c r="D1302" s="1">
        <v>21666</v>
      </c>
      <c r="E1302" s="1">
        <v>335274</v>
      </c>
      <c r="F1302" s="2">
        <v>50156</v>
      </c>
    </row>
    <row r="1303" spans="1:6" x14ac:dyDescent="0.75">
      <c r="A1303">
        <v>2023</v>
      </c>
      <c r="B1303" t="s">
        <v>58</v>
      </c>
      <c r="C1303" t="s">
        <v>6</v>
      </c>
      <c r="D1303" s="1">
        <v>13090</v>
      </c>
      <c r="E1303" s="1">
        <v>326866</v>
      </c>
      <c r="F1303" s="2">
        <v>55369</v>
      </c>
    </row>
    <row r="1304" spans="1:6" x14ac:dyDescent="0.75">
      <c r="A1304">
        <v>2023</v>
      </c>
      <c r="B1304" t="s">
        <v>58</v>
      </c>
      <c r="C1304" t="s">
        <v>7</v>
      </c>
      <c r="D1304" s="1">
        <v>5063</v>
      </c>
      <c r="E1304" s="1">
        <v>75524</v>
      </c>
      <c r="F1304" s="2">
        <v>53795</v>
      </c>
    </row>
    <row r="1305" spans="1:6" x14ac:dyDescent="0.75">
      <c r="A1305">
        <v>2023</v>
      </c>
      <c r="B1305" t="s">
        <v>58</v>
      </c>
      <c r="C1305" t="s">
        <v>8</v>
      </c>
      <c r="D1305" s="1">
        <v>73761</v>
      </c>
      <c r="E1305" s="1">
        <v>1287814</v>
      </c>
      <c r="F1305" s="2">
        <v>50781</v>
      </c>
    </row>
    <row r="1306" spans="1:6" x14ac:dyDescent="0.75">
      <c r="A1306">
        <v>2023</v>
      </c>
      <c r="B1306" t="s">
        <v>58</v>
      </c>
      <c r="C1306" t="s">
        <v>9</v>
      </c>
      <c r="D1306" s="1">
        <v>28952</v>
      </c>
      <c r="E1306" s="1">
        <v>562436</v>
      </c>
      <c r="F1306" s="2">
        <v>52062</v>
      </c>
    </row>
    <row r="1307" spans="1:6" x14ac:dyDescent="0.75">
      <c r="A1307">
        <v>2023</v>
      </c>
      <c r="B1307" t="s">
        <v>58</v>
      </c>
      <c r="C1307" t="s">
        <v>10</v>
      </c>
      <c r="D1307" s="1">
        <v>7824</v>
      </c>
      <c r="E1307" s="1">
        <v>100212</v>
      </c>
      <c r="F1307" s="2">
        <v>42047</v>
      </c>
    </row>
    <row r="1308" spans="1:6" x14ac:dyDescent="0.75">
      <c r="A1308">
        <v>2023</v>
      </c>
      <c r="B1308" t="s">
        <v>58</v>
      </c>
      <c r="C1308" t="s">
        <v>11</v>
      </c>
      <c r="D1308" s="1">
        <v>34720</v>
      </c>
      <c r="E1308" s="1">
        <v>919288</v>
      </c>
      <c r="F1308" s="2">
        <v>50959</v>
      </c>
    </row>
    <row r="1309" spans="1:6" x14ac:dyDescent="0.75">
      <c r="A1309">
        <v>2023</v>
      </c>
      <c r="B1309" t="s">
        <v>58</v>
      </c>
      <c r="C1309" t="s">
        <v>12</v>
      </c>
      <c r="D1309" s="1">
        <v>15692</v>
      </c>
      <c r="E1309" s="1">
        <v>459398</v>
      </c>
      <c r="F1309" s="2">
        <v>47681</v>
      </c>
    </row>
    <row r="1310" spans="1:6" x14ac:dyDescent="0.75">
      <c r="A1310">
        <v>2023</v>
      </c>
      <c r="B1310" t="s">
        <v>58</v>
      </c>
      <c r="C1310" t="s">
        <v>13</v>
      </c>
      <c r="D1310" s="1">
        <v>11589</v>
      </c>
      <c r="E1310" s="1">
        <v>219674</v>
      </c>
      <c r="F1310" s="2">
        <v>43022</v>
      </c>
    </row>
    <row r="1311" spans="1:6" x14ac:dyDescent="0.75">
      <c r="A1311">
        <v>2023</v>
      </c>
      <c r="B1311" t="s">
        <v>58</v>
      </c>
      <c r="C1311" t="s">
        <v>14</v>
      </c>
      <c r="D1311" s="1">
        <v>10277</v>
      </c>
      <c r="E1311" s="1">
        <v>195132</v>
      </c>
      <c r="F1311" s="2">
        <v>42586</v>
      </c>
    </row>
    <row r="1312" spans="1:6" x14ac:dyDescent="0.75">
      <c r="A1312">
        <v>2023</v>
      </c>
      <c r="B1312" t="s">
        <v>58</v>
      </c>
      <c r="C1312" t="s">
        <v>15</v>
      </c>
      <c r="D1312" s="1">
        <v>18161</v>
      </c>
      <c r="E1312" s="1">
        <v>267486</v>
      </c>
      <c r="F1312" s="2">
        <v>48210</v>
      </c>
    </row>
    <row r="1313" spans="1:6" x14ac:dyDescent="0.75">
      <c r="A1313">
        <v>2023</v>
      </c>
      <c r="B1313" t="s">
        <v>58</v>
      </c>
      <c r="C1313" t="s">
        <v>16</v>
      </c>
      <c r="D1313" s="1">
        <v>15480</v>
      </c>
      <c r="E1313" s="1">
        <v>300015</v>
      </c>
      <c r="F1313" s="2">
        <v>43339</v>
      </c>
    </row>
    <row r="1314" spans="1:6" x14ac:dyDescent="0.75">
      <c r="A1314">
        <v>2023</v>
      </c>
      <c r="B1314" t="s">
        <v>58</v>
      </c>
      <c r="C1314" t="s">
        <v>17</v>
      </c>
      <c r="D1314" s="1">
        <v>5483</v>
      </c>
      <c r="E1314" s="1">
        <v>118009</v>
      </c>
      <c r="F1314" s="2">
        <v>47535</v>
      </c>
    </row>
    <row r="1315" spans="1:6" x14ac:dyDescent="0.75">
      <c r="A1315">
        <v>2023</v>
      </c>
      <c r="B1315" t="s">
        <v>58</v>
      </c>
      <c r="C1315" t="s">
        <v>18</v>
      </c>
      <c r="D1315" s="1">
        <v>20856</v>
      </c>
      <c r="E1315" s="1">
        <v>445328</v>
      </c>
      <c r="F1315" s="2">
        <v>54310</v>
      </c>
    </row>
    <row r="1316" spans="1:6" x14ac:dyDescent="0.75">
      <c r="A1316">
        <v>2023</v>
      </c>
      <c r="B1316" t="s">
        <v>58</v>
      </c>
      <c r="C1316" t="s">
        <v>19</v>
      </c>
      <c r="D1316" s="1">
        <v>66364</v>
      </c>
      <c r="E1316" s="1">
        <v>773683</v>
      </c>
      <c r="F1316" s="2">
        <v>58448</v>
      </c>
    </row>
    <row r="1317" spans="1:6" x14ac:dyDescent="0.75">
      <c r="A1317">
        <v>2023</v>
      </c>
      <c r="B1317" t="s">
        <v>58</v>
      </c>
      <c r="C1317" t="s">
        <v>20</v>
      </c>
      <c r="D1317" s="1">
        <v>24822</v>
      </c>
      <c r="E1317" s="1">
        <v>659230</v>
      </c>
      <c r="F1317" s="2">
        <v>49739</v>
      </c>
    </row>
    <row r="1318" spans="1:6" x14ac:dyDescent="0.75">
      <c r="A1318">
        <v>2023</v>
      </c>
      <c r="B1318" t="s">
        <v>58</v>
      </c>
      <c r="C1318" t="s">
        <v>21</v>
      </c>
      <c r="D1318" s="1">
        <v>19210</v>
      </c>
      <c r="E1318" s="1">
        <v>526556</v>
      </c>
      <c r="F1318" s="2">
        <v>51469</v>
      </c>
    </row>
    <row r="1319" spans="1:6" x14ac:dyDescent="0.75">
      <c r="A1319">
        <v>2023</v>
      </c>
      <c r="B1319" t="s">
        <v>58</v>
      </c>
      <c r="C1319" t="s">
        <v>22</v>
      </c>
      <c r="D1319" s="1">
        <v>7531</v>
      </c>
      <c r="E1319" s="1">
        <v>144105</v>
      </c>
      <c r="F1319" s="2">
        <v>41620</v>
      </c>
    </row>
    <row r="1320" spans="1:6" x14ac:dyDescent="0.75">
      <c r="A1320">
        <v>2023</v>
      </c>
      <c r="B1320" t="s">
        <v>58</v>
      </c>
      <c r="C1320" t="s">
        <v>23</v>
      </c>
      <c r="D1320" s="1">
        <v>48555</v>
      </c>
      <c r="E1320" s="1">
        <v>454728</v>
      </c>
      <c r="F1320" s="2">
        <v>46127</v>
      </c>
    </row>
    <row r="1321" spans="1:6" x14ac:dyDescent="0.75">
      <c r="A1321">
        <v>2023</v>
      </c>
      <c r="B1321" t="s">
        <v>58</v>
      </c>
      <c r="C1321" t="s">
        <v>24</v>
      </c>
      <c r="D1321" s="1">
        <v>4637</v>
      </c>
      <c r="E1321" s="1">
        <v>73530</v>
      </c>
      <c r="F1321" s="2">
        <v>47539</v>
      </c>
    </row>
    <row r="1322" spans="1:6" x14ac:dyDescent="0.75">
      <c r="A1322">
        <v>2023</v>
      </c>
      <c r="B1322" t="s">
        <v>58</v>
      </c>
      <c r="C1322" t="s">
        <v>25</v>
      </c>
      <c r="D1322" s="1">
        <v>12205</v>
      </c>
      <c r="E1322" s="1">
        <v>138155</v>
      </c>
      <c r="F1322" s="2">
        <v>46678</v>
      </c>
    </row>
    <row r="1323" spans="1:6" x14ac:dyDescent="0.75">
      <c r="A1323">
        <v>2023</v>
      </c>
      <c r="B1323" t="s">
        <v>58</v>
      </c>
      <c r="C1323" t="s">
        <v>26</v>
      </c>
      <c r="D1323" s="1">
        <v>8913</v>
      </c>
      <c r="E1323" s="1">
        <v>139036</v>
      </c>
      <c r="F1323" s="2">
        <v>54167</v>
      </c>
    </row>
    <row r="1324" spans="1:6" x14ac:dyDescent="0.75">
      <c r="A1324">
        <v>2023</v>
      </c>
      <c r="B1324" t="s">
        <v>58</v>
      </c>
      <c r="C1324" t="s">
        <v>27</v>
      </c>
      <c r="D1324" s="1">
        <v>4700</v>
      </c>
      <c r="E1324" s="1">
        <v>112567</v>
      </c>
      <c r="F1324" s="2">
        <v>56317</v>
      </c>
    </row>
    <row r="1325" spans="1:6" x14ac:dyDescent="0.75">
      <c r="A1325">
        <v>2023</v>
      </c>
      <c r="B1325" t="s">
        <v>58</v>
      </c>
      <c r="C1325" t="s">
        <v>28</v>
      </c>
      <c r="D1325" s="1">
        <v>37328</v>
      </c>
      <c r="E1325" s="1">
        <v>656716</v>
      </c>
      <c r="F1325" s="2">
        <v>53402</v>
      </c>
    </row>
    <row r="1326" spans="1:6" x14ac:dyDescent="0.75">
      <c r="A1326">
        <v>2023</v>
      </c>
      <c r="B1326" t="s">
        <v>58</v>
      </c>
      <c r="C1326" t="s">
        <v>29</v>
      </c>
      <c r="D1326" s="1">
        <v>10221</v>
      </c>
      <c r="E1326" s="1">
        <v>128590</v>
      </c>
      <c r="F1326" s="2">
        <v>41645</v>
      </c>
    </row>
    <row r="1327" spans="1:6" x14ac:dyDescent="0.75">
      <c r="A1327">
        <v>2023</v>
      </c>
      <c r="B1327" t="s">
        <v>58</v>
      </c>
      <c r="C1327" t="s">
        <v>30</v>
      </c>
      <c r="D1327" s="1">
        <v>67399</v>
      </c>
      <c r="E1327" s="1">
        <v>1914153</v>
      </c>
      <c r="F1327" s="2">
        <v>53467</v>
      </c>
    </row>
    <row r="1328" spans="1:6" x14ac:dyDescent="0.75">
      <c r="A1328">
        <v>2023</v>
      </c>
      <c r="B1328" t="s">
        <v>58</v>
      </c>
      <c r="C1328" t="s">
        <v>31</v>
      </c>
      <c r="D1328" s="1">
        <v>27210</v>
      </c>
      <c r="E1328" s="1">
        <v>592067</v>
      </c>
      <c r="F1328" s="2">
        <v>48381</v>
      </c>
    </row>
    <row r="1329" spans="1:6" x14ac:dyDescent="0.75">
      <c r="A1329">
        <v>2023</v>
      </c>
      <c r="B1329" t="s">
        <v>58</v>
      </c>
      <c r="C1329" t="s">
        <v>32</v>
      </c>
      <c r="D1329" s="1">
        <v>2558</v>
      </c>
      <c r="E1329" s="1">
        <v>62184</v>
      </c>
      <c r="F1329" s="2">
        <v>51404</v>
      </c>
    </row>
    <row r="1330" spans="1:6" x14ac:dyDescent="0.75">
      <c r="A1330">
        <v>2023</v>
      </c>
      <c r="B1330" t="s">
        <v>58</v>
      </c>
      <c r="C1330" t="s">
        <v>33</v>
      </c>
      <c r="D1330" s="1">
        <v>34508</v>
      </c>
      <c r="E1330" s="1">
        <v>904140</v>
      </c>
      <c r="F1330" s="2">
        <v>46408</v>
      </c>
    </row>
    <row r="1331" spans="1:6" x14ac:dyDescent="0.75">
      <c r="A1331">
        <v>2023</v>
      </c>
      <c r="B1331" t="s">
        <v>58</v>
      </c>
      <c r="C1331" t="s">
        <v>34</v>
      </c>
      <c r="D1331" s="1">
        <v>13563</v>
      </c>
      <c r="E1331" s="1">
        <v>209863</v>
      </c>
      <c r="F1331" s="2">
        <v>45570</v>
      </c>
    </row>
    <row r="1332" spans="1:6" x14ac:dyDescent="0.75">
      <c r="A1332">
        <v>2023</v>
      </c>
      <c r="B1332" t="s">
        <v>58</v>
      </c>
      <c r="C1332" t="s">
        <v>35</v>
      </c>
      <c r="D1332" s="1">
        <v>15708</v>
      </c>
      <c r="E1332" s="1">
        <v>288939</v>
      </c>
      <c r="F1332" s="2">
        <v>50107</v>
      </c>
    </row>
    <row r="1333" spans="1:6" x14ac:dyDescent="0.75">
      <c r="A1333">
        <v>2023</v>
      </c>
      <c r="B1333" t="s">
        <v>58</v>
      </c>
      <c r="C1333" t="s">
        <v>36</v>
      </c>
      <c r="D1333" s="1">
        <v>57768</v>
      </c>
      <c r="E1333" s="1">
        <v>1209344</v>
      </c>
      <c r="F1333" s="2">
        <v>51808</v>
      </c>
    </row>
    <row r="1334" spans="1:6" x14ac:dyDescent="0.75">
      <c r="A1334">
        <v>2023</v>
      </c>
      <c r="B1334" t="s">
        <v>58</v>
      </c>
      <c r="C1334" t="s">
        <v>37</v>
      </c>
      <c r="D1334" s="1">
        <v>4545</v>
      </c>
      <c r="E1334" s="1">
        <v>100506</v>
      </c>
      <c r="F1334" s="2">
        <v>48716</v>
      </c>
    </row>
    <row r="1335" spans="1:6" x14ac:dyDescent="0.75">
      <c r="A1335">
        <v>2023</v>
      </c>
      <c r="B1335" t="s">
        <v>58</v>
      </c>
      <c r="C1335" t="s">
        <v>38</v>
      </c>
      <c r="D1335" s="1">
        <v>11971</v>
      </c>
      <c r="E1335" s="1">
        <v>234487</v>
      </c>
      <c r="F1335" s="2">
        <v>45993</v>
      </c>
    </row>
    <row r="1336" spans="1:6" x14ac:dyDescent="0.75">
      <c r="A1336">
        <v>2023</v>
      </c>
      <c r="B1336" t="s">
        <v>58</v>
      </c>
      <c r="C1336" t="s">
        <v>39</v>
      </c>
      <c r="D1336" s="1">
        <v>2839</v>
      </c>
      <c r="E1336" s="1">
        <v>67868</v>
      </c>
      <c r="F1336" s="2">
        <v>50399</v>
      </c>
    </row>
    <row r="1337" spans="1:6" x14ac:dyDescent="0.75">
      <c r="A1337">
        <v>2023</v>
      </c>
      <c r="B1337" t="s">
        <v>58</v>
      </c>
      <c r="C1337" t="s">
        <v>40</v>
      </c>
      <c r="D1337" s="1">
        <v>16127</v>
      </c>
      <c r="E1337" s="1">
        <v>420817</v>
      </c>
      <c r="F1337" s="2">
        <v>52099</v>
      </c>
    </row>
    <row r="1338" spans="1:6" x14ac:dyDescent="0.75">
      <c r="A1338">
        <v>2023</v>
      </c>
      <c r="B1338" t="s">
        <v>58</v>
      </c>
      <c r="C1338" t="s">
        <v>41</v>
      </c>
      <c r="D1338" s="1">
        <v>90552</v>
      </c>
      <c r="E1338" s="1">
        <v>1641637</v>
      </c>
      <c r="F1338" s="2">
        <v>48036</v>
      </c>
    </row>
    <row r="1339" spans="1:6" x14ac:dyDescent="0.75">
      <c r="A1339">
        <v>2023</v>
      </c>
      <c r="B1339" t="s">
        <v>58</v>
      </c>
      <c r="C1339" t="s">
        <v>42</v>
      </c>
      <c r="D1339" s="1">
        <v>12264</v>
      </c>
      <c r="E1339" s="1">
        <v>186785</v>
      </c>
      <c r="F1339" s="2">
        <v>43696</v>
      </c>
    </row>
    <row r="1340" spans="1:6" x14ac:dyDescent="0.75">
      <c r="A1340">
        <v>2023</v>
      </c>
      <c r="B1340" t="s">
        <v>58</v>
      </c>
      <c r="C1340" t="s">
        <v>43</v>
      </c>
      <c r="D1340" s="1">
        <v>2463</v>
      </c>
      <c r="E1340" s="1">
        <v>62630</v>
      </c>
      <c r="F1340" s="2">
        <v>46699</v>
      </c>
    </row>
    <row r="1341" spans="1:6" x14ac:dyDescent="0.75">
      <c r="A1341">
        <v>2023</v>
      </c>
      <c r="B1341" t="s">
        <v>58</v>
      </c>
      <c r="C1341" t="s">
        <v>44</v>
      </c>
      <c r="D1341" s="1">
        <v>43566</v>
      </c>
      <c r="E1341" s="1">
        <v>505487</v>
      </c>
      <c r="F1341" s="2">
        <v>49627</v>
      </c>
    </row>
    <row r="1342" spans="1:6" x14ac:dyDescent="0.75">
      <c r="A1342">
        <v>2023</v>
      </c>
      <c r="B1342" t="s">
        <v>58</v>
      </c>
      <c r="C1342" t="s">
        <v>45</v>
      </c>
      <c r="D1342" s="1">
        <v>61026</v>
      </c>
      <c r="E1342" s="1">
        <v>465717</v>
      </c>
      <c r="F1342" s="2">
        <v>51354</v>
      </c>
    </row>
    <row r="1343" spans="1:6" x14ac:dyDescent="0.75">
      <c r="A1343">
        <v>2023</v>
      </c>
      <c r="B1343" t="s">
        <v>58</v>
      </c>
      <c r="C1343" t="s">
        <v>46</v>
      </c>
      <c r="D1343" s="1">
        <v>5765</v>
      </c>
      <c r="E1343" s="1">
        <v>124431</v>
      </c>
      <c r="F1343" s="2">
        <v>46182</v>
      </c>
    </row>
    <row r="1344" spans="1:6" x14ac:dyDescent="0.75">
      <c r="A1344">
        <v>2023</v>
      </c>
      <c r="B1344" t="s">
        <v>58</v>
      </c>
      <c r="C1344" t="s">
        <v>47</v>
      </c>
      <c r="D1344" s="1">
        <v>28013</v>
      </c>
      <c r="E1344" s="1">
        <v>434143</v>
      </c>
      <c r="F1344" s="2">
        <v>49195</v>
      </c>
    </row>
    <row r="1345" spans="1:6" x14ac:dyDescent="0.75">
      <c r="A1345">
        <v>2023</v>
      </c>
      <c r="B1345" t="s">
        <v>58</v>
      </c>
      <c r="C1345" t="s">
        <v>48</v>
      </c>
      <c r="D1345" s="1">
        <v>3338</v>
      </c>
      <c r="E1345" s="1">
        <v>26972</v>
      </c>
      <c r="F1345" s="2">
        <v>42906</v>
      </c>
    </row>
    <row r="1346" spans="1:6" x14ac:dyDescent="0.75">
      <c r="A1346">
        <v>2023</v>
      </c>
      <c r="B1346" t="s">
        <v>59</v>
      </c>
      <c r="C1346" t="s">
        <v>1</v>
      </c>
      <c r="D1346" s="1">
        <v>10993</v>
      </c>
      <c r="E1346" s="1">
        <v>205942</v>
      </c>
      <c r="F1346" s="2">
        <v>16798</v>
      </c>
    </row>
    <row r="1347" spans="1:6" x14ac:dyDescent="0.75">
      <c r="A1347">
        <v>2023</v>
      </c>
      <c r="B1347" t="s">
        <v>59</v>
      </c>
      <c r="C1347" t="s">
        <v>2</v>
      </c>
      <c r="D1347" s="1">
        <v>13627</v>
      </c>
      <c r="E1347" s="1">
        <v>325897</v>
      </c>
      <c r="F1347" s="2">
        <v>24580</v>
      </c>
    </row>
    <row r="1348" spans="1:6" x14ac:dyDescent="0.75">
      <c r="A1348">
        <v>2023</v>
      </c>
      <c r="B1348" t="s">
        <v>59</v>
      </c>
      <c r="C1348" t="s">
        <v>3</v>
      </c>
      <c r="D1348" s="1">
        <v>7168</v>
      </c>
      <c r="E1348" s="1">
        <v>118405</v>
      </c>
      <c r="F1348" s="2">
        <v>16536</v>
      </c>
    </row>
    <row r="1349" spans="1:6" x14ac:dyDescent="0.75">
      <c r="A1349">
        <v>2023</v>
      </c>
      <c r="B1349" t="s">
        <v>59</v>
      </c>
      <c r="C1349" t="s">
        <v>4</v>
      </c>
      <c r="D1349" s="1">
        <v>111455</v>
      </c>
      <c r="E1349" s="1">
        <v>1988750</v>
      </c>
      <c r="F1349" s="2">
        <v>30527</v>
      </c>
    </row>
    <row r="1350" spans="1:6" x14ac:dyDescent="0.75">
      <c r="A1350">
        <v>2023</v>
      </c>
      <c r="B1350" t="s">
        <v>59</v>
      </c>
      <c r="C1350" t="s">
        <v>5</v>
      </c>
      <c r="D1350" s="1">
        <v>16939</v>
      </c>
      <c r="E1350" s="1">
        <v>339407</v>
      </c>
      <c r="F1350" s="2">
        <v>25878</v>
      </c>
    </row>
    <row r="1351" spans="1:6" x14ac:dyDescent="0.75">
      <c r="A1351">
        <v>2023</v>
      </c>
      <c r="B1351" t="s">
        <v>59</v>
      </c>
      <c r="C1351" t="s">
        <v>6</v>
      </c>
      <c r="D1351" s="1">
        <v>10668</v>
      </c>
      <c r="E1351" s="1">
        <v>157709</v>
      </c>
      <c r="F1351" s="2">
        <v>23705</v>
      </c>
    </row>
    <row r="1352" spans="1:6" x14ac:dyDescent="0.75">
      <c r="A1352">
        <v>2023</v>
      </c>
      <c r="B1352" t="s">
        <v>59</v>
      </c>
      <c r="C1352" t="s">
        <v>7</v>
      </c>
      <c r="D1352" s="1">
        <v>2637</v>
      </c>
      <c r="E1352" s="1">
        <v>51696</v>
      </c>
      <c r="F1352" s="2">
        <v>20414</v>
      </c>
    </row>
    <row r="1353" spans="1:6" x14ac:dyDescent="0.75">
      <c r="A1353">
        <v>2023</v>
      </c>
      <c r="B1353" t="s">
        <v>59</v>
      </c>
      <c r="C1353" t="s">
        <v>8</v>
      </c>
      <c r="D1353" s="1">
        <v>56587</v>
      </c>
      <c r="E1353" s="1">
        <v>1226786</v>
      </c>
      <c r="F1353" s="2">
        <v>25881</v>
      </c>
    </row>
    <row r="1354" spans="1:6" x14ac:dyDescent="0.75">
      <c r="A1354">
        <v>2023</v>
      </c>
      <c r="B1354" t="s">
        <v>59</v>
      </c>
      <c r="C1354" t="s">
        <v>9</v>
      </c>
      <c r="D1354" s="1">
        <v>24275</v>
      </c>
      <c r="E1354" s="1">
        <v>487598</v>
      </c>
      <c r="F1354" s="2">
        <v>20604</v>
      </c>
    </row>
    <row r="1355" spans="1:6" x14ac:dyDescent="0.75">
      <c r="A1355">
        <v>2023</v>
      </c>
      <c r="B1355" t="s">
        <v>59</v>
      </c>
      <c r="C1355" t="s">
        <v>10</v>
      </c>
      <c r="D1355" s="1">
        <v>5008</v>
      </c>
      <c r="E1355" s="1">
        <v>78912</v>
      </c>
      <c r="F1355" s="2">
        <v>17141</v>
      </c>
    </row>
    <row r="1356" spans="1:6" x14ac:dyDescent="0.75">
      <c r="A1356">
        <v>2023</v>
      </c>
      <c r="B1356" t="s">
        <v>59</v>
      </c>
      <c r="C1356" t="s">
        <v>11</v>
      </c>
      <c r="D1356" s="1">
        <v>32619</v>
      </c>
      <c r="E1356" s="1">
        <v>617101</v>
      </c>
      <c r="F1356" s="2">
        <v>23765</v>
      </c>
    </row>
    <row r="1357" spans="1:6" x14ac:dyDescent="0.75">
      <c r="A1357">
        <v>2023</v>
      </c>
      <c r="B1357" t="s">
        <v>59</v>
      </c>
      <c r="C1357" t="s">
        <v>12</v>
      </c>
      <c r="D1357" s="1">
        <v>15564</v>
      </c>
      <c r="E1357" s="1">
        <v>310335</v>
      </c>
      <c r="F1357" s="2">
        <v>18981</v>
      </c>
    </row>
    <row r="1358" spans="1:6" x14ac:dyDescent="0.75">
      <c r="A1358">
        <v>2023</v>
      </c>
      <c r="B1358" t="s">
        <v>59</v>
      </c>
      <c r="C1358" t="s">
        <v>13</v>
      </c>
      <c r="D1358" s="1">
        <v>8670</v>
      </c>
      <c r="E1358" s="1">
        <v>143729</v>
      </c>
      <c r="F1358" s="2">
        <v>16799</v>
      </c>
    </row>
    <row r="1359" spans="1:6" x14ac:dyDescent="0.75">
      <c r="A1359">
        <v>2023</v>
      </c>
      <c r="B1359" t="s">
        <v>59</v>
      </c>
      <c r="C1359" t="s">
        <v>14</v>
      </c>
      <c r="D1359" s="1">
        <v>6895</v>
      </c>
      <c r="E1359" s="1">
        <v>129372</v>
      </c>
      <c r="F1359" s="2">
        <v>16764</v>
      </c>
    </row>
    <row r="1360" spans="1:6" x14ac:dyDescent="0.75">
      <c r="A1360">
        <v>2023</v>
      </c>
      <c r="B1360" t="s">
        <v>59</v>
      </c>
      <c r="C1360" t="s">
        <v>15</v>
      </c>
      <c r="D1360" s="1">
        <v>10080</v>
      </c>
      <c r="E1360" s="1">
        <v>197894</v>
      </c>
      <c r="F1360" s="2">
        <v>17719</v>
      </c>
    </row>
    <row r="1361" spans="1:6" x14ac:dyDescent="0.75">
      <c r="A1361">
        <v>2023</v>
      </c>
      <c r="B1361" t="s">
        <v>59</v>
      </c>
      <c r="C1361" t="s">
        <v>16</v>
      </c>
      <c r="D1361" s="1">
        <v>12415</v>
      </c>
      <c r="E1361" s="1">
        <v>236357</v>
      </c>
      <c r="F1361" s="2">
        <v>21264</v>
      </c>
    </row>
    <row r="1362" spans="1:6" x14ac:dyDescent="0.75">
      <c r="A1362">
        <v>2023</v>
      </c>
      <c r="B1362" t="s">
        <v>59</v>
      </c>
      <c r="C1362" t="s">
        <v>17</v>
      </c>
      <c r="D1362" s="1">
        <v>5047</v>
      </c>
      <c r="E1362" s="1">
        <v>68406</v>
      </c>
      <c r="F1362" s="2">
        <v>22087</v>
      </c>
    </row>
    <row r="1363" spans="1:6" x14ac:dyDescent="0.75">
      <c r="A1363">
        <v>2023</v>
      </c>
      <c r="B1363" t="s">
        <v>59</v>
      </c>
      <c r="C1363" t="s">
        <v>18</v>
      </c>
      <c r="D1363" s="1">
        <v>14772</v>
      </c>
      <c r="E1363" s="1">
        <v>282009</v>
      </c>
      <c r="F1363" s="2">
        <v>24012</v>
      </c>
    </row>
    <row r="1364" spans="1:6" x14ac:dyDescent="0.75">
      <c r="A1364">
        <v>2023</v>
      </c>
      <c r="B1364" t="s">
        <v>59</v>
      </c>
      <c r="C1364" t="s">
        <v>19</v>
      </c>
      <c r="D1364" s="1">
        <v>20642</v>
      </c>
      <c r="E1364" s="1">
        <v>375767</v>
      </c>
      <c r="F1364" s="2">
        <v>27758</v>
      </c>
    </row>
    <row r="1365" spans="1:6" x14ac:dyDescent="0.75">
      <c r="A1365">
        <v>2023</v>
      </c>
      <c r="B1365" t="s">
        <v>59</v>
      </c>
      <c r="C1365" t="s">
        <v>20</v>
      </c>
      <c r="D1365" s="1">
        <v>22025</v>
      </c>
      <c r="E1365" s="1">
        <v>432290</v>
      </c>
      <c r="F1365" s="2">
        <v>20566</v>
      </c>
    </row>
    <row r="1366" spans="1:6" x14ac:dyDescent="0.75">
      <c r="A1366">
        <v>2023</v>
      </c>
      <c r="B1366" t="s">
        <v>59</v>
      </c>
      <c r="C1366" t="s">
        <v>21</v>
      </c>
      <c r="D1366" s="1">
        <v>15294</v>
      </c>
      <c r="E1366" s="1">
        <v>272821</v>
      </c>
      <c r="F1366" s="2">
        <v>22507</v>
      </c>
    </row>
    <row r="1367" spans="1:6" x14ac:dyDescent="0.75">
      <c r="A1367">
        <v>2023</v>
      </c>
      <c r="B1367" t="s">
        <v>59</v>
      </c>
      <c r="C1367" t="s">
        <v>22</v>
      </c>
      <c r="D1367" s="1">
        <v>6464</v>
      </c>
      <c r="E1367" s="1">
        <v>134785</v>
      </c>
      <c r="F1367" s="2">
        <v>17523</v>
      </c>
    </row>
    <row r="1368" spans="1:6" x14ac:dyDescent="0.75">
      <c r="A1368">
        <v>2023</v>
      </c>
      <c r="B1368" t="s">
        <v>59</v>
      </c>
      <c r="C1368" t="s">
        <v>23</v>
      </c>
      <c r="D1368" s="1">
        <v>14797</v>
      </c>
      <c r="E1368" s="1">
        <v>305418</v>
      </c>
      <c r="F1368" s="2">
        <v>20892</v>
      </c>
    </row>
    <row r="1369" spans="1:6" x14ac:dyDescent="0.75">
      <c r="A1369">
        <v>2023</v>
      </c>
      <c r="B1369" t="s">
        <v>59</v>
      </c>
      <c r="C1369" t="s">
        <v>24</v>
      </c>
      <c r="D1369" s="1">
        <v>5071</v>
      </c>
      <c r="E1369" s="1">
        <v>66044</v>
      </c>
      <c r="F1369" s="2">
        <v>19150</v>
      </c>
    </row>
    <row r="1370" spans="1:6" x14ac:dyDescent="0.75">
      <c r="A1370">
        <v>2023</v>
      </c>
      <c r="B1370" t="s">
        <v>59</v>
      </c>
      <c r="C1370" t="s">
        <v>25</v>
      </c>
      <c r="D1370" s="1">
        <v>5561</v>
      </c>
      <c r="E1370" s="1">
        <v>92581</v>
      </c>
      <c r="F1370" s="2">
        <v>16715</v>
      </c>
    </row>
    <row r="1371" spans="1:6" x14ac:dyDescent="0.75">
      <c r="A1371">
        <v>2023</v>
      </c>
      <c r="B1371" t="s">
        <v>59</v>
      </c>
      <c r="C1371" t="s">
        <v>26</v>
      </c>
      <c r="D1371" s="1">
        <v>8499</v>
      </c>
      <c r="E1371" s="1">
        <v>352051</v>
      </c>
      <c r="F1371" s="2">
        <v>33688</v>
      </c>
    </row>
    <row r="1372" spans="1:6" x14ac:dyDescent="0.75">
      <c r="A1372">
        <v>2023</v>
      </c>
      <c r="B1372" t="s">
        <v>59</v>
      </c>
      <c r="C1372" t="s">
        <v>27</v>
      </c>
      <c r="D1372" s="1">
        <v>4595</v>
      </c>
      <c r="E1372" s="1">
        <v>71975</v>
      </c>
      <c r="F1372" s="2">
        <v>21945</v>
      </c>
    </row>
    <row r="1373" spans="1:6" x14ac:dyDescent="0.75">
      <c r="A1373">
        <v>2023</v>
      </c>
      <c r="B1373" t="s">
        <v>59</v>
      </c>
      <c r="C1373" t="s">
        <v>28</v>
      </c>
      <c r="D1373" s="1">
        <v>24132</v>
      </c>
      <c r="E1373" s="1">
        <v>385616</v>
      </c>
      <c r="F1373" s="2">
        <v>26316</v>
      </c>
    </row>
    <row r="1374" spans="1:6" x14ac:dyDescent="0.75">
      <c r="A1374">
        <v>2023</v>
      </c>
      <c r="B1374" t="s">
        <v>59</v>
      </c>
      <c r="C1374" t="s">
        <v>29</v>
      </c>
      <c r="D1374" s="1">
        <v>5107</v>
      </c>
      <c r="E1374" s="1">
        <v>97785</v>
      </c>
      <c r="F1374" s="2">
        <v>18651</v>
      </c>
    </row>
    <row r="1375" spans="1:6" x14ac:dyDescent="0.75">
      <c r="A1375">
        <v>2023</v>
      </c>
      <c r="B1375" t="s">
        <v>59</v>
      </c>
      <c r="C1375" t="s">
        <v>30</v>
      </c>
      <c r="D1375" s="1">
        <v>66285</v>
      </c>
      <c r="E1375" s="1">
        <v>957343</v>
      </c>
      <c r="F1375" s="2">
        <v>33850</v>
      </c>
    </row>
    <row r="1376" spans="1:6" x14ac:dyDescent="0.75">
      <c r="A1376">
        <v>2023</v>
      </c>
      <c r="B1376" t="s">
        <v>59</v>
      </c>
      <c r="C1376" t="s">
        <v>31</v>
      </c>
      <c r="D1376" s="1">
        <v>25859</v>
      </c>
      <c r="E1376" s="1">
        <v>502877</v>
      </c>
      <c r="F1376" s="2">
        <v>19767</v>
      </c>
    </row>
    <row r="1377" spans="1:6" x14ac:dyDescent="0.75">
      <c r="A1377">
        <v>2023</v>
      </c>
      <c r="B1377" t="s">
        <v>59</v>
      </c>
      <c r="C1377" t="s">
        <v>32</v>
      </c>
      <c r="D1377" s="1">
        <v>2627</v>
      </c>
      <c r="E1377" s="1">
        <v>40375</v>
      </c>
      <c r="F1377" s="2">
        <v>17889</v>
      </c>
    </row>
    <row r="1378" spans="1:6" x14ac:dyDescent="0.75">
      <c r="A1378">
        <v>2023</v>
      </c>
      <c r="B1378" t="s">
        <v>59</v>
      </c>
      <c r="C1378" t="s">
        <v>33</v>
      </c>
      <c r="D1378" s="1">
        <v>28523</v>
      </c>
      <c r="E1378" s="1">
        <v>566681</v>
      </c>
      <c r="F1378" s="2">
        <v>19459</v>
      </c>
    </row>
    <row r="1379" spans="1:6" x14ac:dyDescent="0.75">
      <c r="A1379">
        <v>2023</v>
      </c>
      <c r="B1379" t="s">
        <v>59</v>
      </c>
      <c r="C1379" t="s">
        <v>34</v>
      </c>
      <c r="D1379" s="1">
        <v>9140</v>
      </c>
      <c r="E1379" s="1">
        <v>171567</v>
      </c>
      <c r="F1379" s="2">
        <v>18204</v>
      </c>
    </row>
    <row r="1380" spans="1:6" x14ac:dyDescent="0.75">
      <c r="A1380">
        <v>2023</v>
      </c>
      <c r="B1380" t="s">
        <v>59</v>
      </c>
      <c r="C1380" t="s">
        <v>35</v>
      </c>
      <c r="D1380" s="1">
        <v>13794</v>
      </c>
      <c r="E1380" s="1">
        <v>210781</v>
      </c>
      <c r="F1380" s="2">
        <v>22754</v>
      </c>
    </row>
    <row r="1381" spans="1:6" x14ac:dyDescent="0.75">
      <c r="A1381">
        <v>2023</v>
      </c>
      <c r="B1381" t="s">
        <v>59</v>
      </c>
      <c r="C1381" t="s">
        <v>36</v>
      </c>
      <c r="D1381" s="1">
        <v>33471</v>
      </c>
      <c r="E1381" s="1">
        <v>571799</v>
      </c>
      <c r="F1381" s="2">
        <v>21102</v>
      </c>
    </row>
    <row r="1382" spans="1:6" x14ac:dyDescent="0.75">
      <c r="A1382">
        <v>2023</v>
      </c>
      <c r="B1382" t="s">
        <v>59</v>
      </c>
      <c r="C1382" t="s">
        <v>37</v>
      </c>
      <c r="D1382" s="1">
        <v>3748</v>
      </c>
      <c r="E1382" s="1">
        <v>59154</v>
      </c>
      <c r="F1382" s="2">
        <v>22818</v>
      </c>
    </row>
    <row r="1383" spans="1:6" x14ac:dyDescent="0.75">
      <c r="A1383">
        <v>2023</v>
      </c>
      <c r="B1383" t="s">
        <v>59</v>
      </c>
      <c r="C1383" t="s">
        <v>38</v>
      </c>
      <c r="D1383" s="1">
        <v>12841</v>
      </c>
      <c r="E1383" s="1">
        <v>263743</v>
      </c>
      <c r="F1383" s="2">
        <v>17991</v>
      </c>
    </row>
    <row r="1384" spans="1:6" x14ac:dyDescent="0.75">
      <c r="A1384">
        <v>2023</v>
      </c>
      <c r="B1384" t="s">
        <v>59</v>
      </c>
      <c r="C1384" t="s">
        <v>39</v>
      </c>
      <c r="D1384" s="1">
        <v>3149</v>
      </c>
      <c r="E1384" s="1">
        <v>47321</v>
      </c>
      <c r="F1384" s="2">
        <v>16954</v>
      </c>
    </row>
    <row r="1385" spans="1:6" x14ac:dyDescent="0.75">
      <c r="A1385">
        <v>2023</v>
      </c>
      <c r="B1385" t="s">
        <v>59</v>
      </c>
      <c r="C1385" t="s">
        <v>40</v>
      </c>
      <c r="D1385" s="1">
        <v>16427</v>
      </c>
      <c r="E1385" s="1">
        <v>337857</v>
      </c>
      <c r="F1385" s="2">
        <v>23524</v>
      </c>
    </row>
    <row r="1386" spans="1:6" x14ac:dyDescent="0.75">
      <c r="A1386">
        <v>2023</v>
      </c>
      <c r="B1386" t="s">
        <v>59</v>
      </c>
      <c r="C1386" t="s">
        <v>41</v>
      </c>
      <c r="D1386" s="1">
        <v>62760</v>
      </c>
      <c r="E1386" s="1">
        <v>1354468</v>
      </c>
      <c r="F1386" s="2">
        <v>21861</v>
      </c>
    </row>
    <row r="1387" spans="1:6" x14ac:dyDescent="0.75">
      <c r="A1387">
        <v>2023</v>
      </c>
      <c r="B1387" t="s">
        <v>59</v>
      </c>
      <c r="C1387" t="s">
        <v>42</v>
      </c>
      <c r="D1387" s="1">
        <v>7374</v>
      </c>
      <c r="E1387" s="1">
        <v>148446</v>
      </c>
      <c r="F1387" s="2">
        <v>20121</v>
      </c>
    </row>
    <row r="1388" spans="1:6" x14ac:dyDescent="0.75">
      <c r="A1388">
        <v>2023</v>
      </c>
      <c r="B1388" t="s">
        <v>59</v>
      </c>
      <c r="C1388" t="s">
        <v>43</v>
      </c>
      <c r="D1388" s="1">
        <v>2279</v>
      </c>
      <c r="E1388" s="1">
        <v>37198</v>
      </c>
      <c r="F1388" s="2">
        <v>23107</v>
      </c>
    </row>
    <row r="1389" spans="1:6" x14ac:dyDescent="0.75">
      <c r="A1389">
        <v>2023</v>
      </c>
      <c r="B1389" t="s">
        <v>59</v>
      </c>
      <c r="C1389" t="s">
        <v>44</v>
      </c>
      <c r="D1389" s="1">
        <v>20479</v>
      </c>
      <c r="E1389" s="1">
        <v>406321</v>
      </c>
      <c r="F1389" s="2">
        <v>20678</v>
      </c>
    </row>
    <row r="1390" spans="1:6" x14ac:dyDescent="0.75">
      <c r="A1390">
        <v>2023</v>
      </c>
      <c r="B1390" t="s">
        <v>59</v>
      </c>
      <c r="C1390" t="s">
        <v>45</v>
      </c>
      <c r="D1390" s="1">
        <v>20431</v>
      </c>
      <c r="E1390" s="1">
        <v>335635</v>
      </c>
      <c r="F1390" s="2">
        <v>25357</v>
      </c>
    </row>
    <row r="1391" spans="1:6" x14ac:dyDescent="0.75">
      <c r="A1391">
        <v>2023</v>
      </c>
      <c r="B1391" t="s">
        <v>59</v>
      </c>
      <c r="C1391" t="s">
        <v>46</v>
      </c>
      <c r="D1391" s="1">
        <v>4722</v>
      </c>
      <c r="E1391" s="1">
        <v>74133</v>
      </c>
      <c r="F1391" s="2">
        <v>17916</v>
      </c>
    </row>
    <row r="1392" spans="1:6" x14ac:dyDescent="0.75">
      <c r="A1392">
        <v>2023</v>
      </c>
      <c r="B1392" t="s">
        <v>59</v>
      </c>
      <c r="C1392" t="s">
        <v>47</v>
      </c>
      <c r="D1392" s="1">
        <v>16931</v>
      </c>
      <c r="E1392" s="1">
        <v>282313</v>
      </c>
      <c r="F1392" s="2">
        <v>18305</v>
      </c>
    </row>
    <row r="1393" spans="1:6" x14ac:dyDescent="0.75">
      <c r="A1393">
        <v>2023</v>
      </c>
      <c r="B1393" t="s">
        <v>59</v>
      </c>
      <c r="C1393" t="s">
        <v>48</v>
      </c>
      <c r="D1393" s="1">
        <v>2383</v>
      </c>
      <c r="E1393" s="1">
        <v>36403</v>
      </c>
      <c r="F1393" s="2">
        <v>21270</v>
      </c>
    </row>
    <row r="1394" spans="1:6" x14ac:dyDescent="0.75">
      <c r="A1394">
        <v>2023</v>
      </c>
      <c r="B1394" t="s">
        <v>60</v>
      </c>
      <c r="C1394" t="s">
        <v>1</v>
      </c>
      <c r="D1394" s="1">
        <v>10102</v>
      </c>
      <c r="E1394" s="1">
        <v>46094</v>
      </c>
      <c r="F1394" s="2">
        <v>37839</v>
      </c>
    </row>
    <row r="1395" spans="1:6" x14ac:dyDescent="0.75">
      <c r="A1395">
        <v>2023</v>
      </c>
      <c r="B1395" t="s">
        <v>60</v>
      </c>
      <c r="C1395" t="s">
        <v>2</v>
      </c>
      <c r="D1395" s="1">
        <v>11119</v>
      </c>
      <c r="E1395" s="1">
        <v>75319</v>
      </c>
      <c r="F1395" s="2">
        <v>37697</v>
      </c>
    </row>
    <row r="1396" spans="1:6" x14ac:dyDescent="0.75">
      <c r="A1396">
        <v>2023</v>
      </c>
      <c r="B1396" t="s">
        <v>60</v>
      </c>
      <c r="C1396" t="s">
        <v>3</v>
      </c>
      <c r="D1396" s="1">
        <v>5345</v>
      </c>
      <c r="E1396" s="1">
        <v>24966</v>
      </c>
      <c r="F1396" s="2">
        <v>34843</v>
      </c>
    </row>
    <row r="1397" spans="1:6" x14ac:dyDescent="0.75">
      <c r="A1397">
        <v>2023</v>
      </c>
      <c r="B1397" t="s">
        <v>60</v>
      </c>
      <c r="C1397" t="s">
        <v>4</v>
      </c>
      <c r="D1397" s="1">
        <v>95398</v>
      </c>
      <c r="E1397" s="1">
        <v>541832</v>
      </c>
      <c r="F1397" s="2">
        <v>40668</v>
      </c>
    </row>
    <row r="1398" spans="1:6" x14ac:dyDescent="0.75">
      <c r="A1398">
        <v>2023</v>
      </c>
      <c r="B1398" t="s">
        <v>60</v>
      </c>
      <c r="C1398" t="s">
        <v>5</v>
      </c>
      <c r="D1398" s="1">
        <v>16405</v>
      </c>
      <c r="E1398" s="1">
        <v>82040</v>
      </c>
      <c r="F1398" s="2">
        <v>40987</v>
      </c>
    </row>
    <row r="1399" spans="1:6" x14ac:dyDescent="0.75">
      <c r="A1399">
        <v>2023</v>
      </c>
      <c r="B1399" t="s">
        <v>60</v>
      </c>
      <c r="C1399" t="s">
        <v>6</v>
      </c>
      <c r="D1399" s="1">
        <v>17517</v>
      </c>
      <c r="E1399" s="1">
        <v>66913</v>
      </c>
      <c r="F1399" s="2">
        <v>33615</v>
      </c>
    </row>
    <row r="1400" spans="1:6" x14ac:dyDescent="0.75">
      <c r="A1400">
        <v>2023</v>
      </c>
      <c r="B1400" t="s">
        <v>60</v>
      </c>
      <c r="C1400" t="s">
        <v>7</v>
      </c>
      <c r="D1400" s="1">
        <v>2054</v>
      </c>
      <c r="E1400" s="1">
        <v>11930</v>
      </c>
      <c r="F1400" s="2">
        <v>34259</v>
      </c>
    </row>
    <row r="1401" spans="1:6" x14ac:dyDescent="0.75">
      <c r="A1401">
        <v>2023</v>
      </c>
      <c r="B1401" t="s">
        <v>60</v>
      </c>
      <c r="C1401" t="s">
        <v>8</v>
      </c>
      <c r="D1401" s="1">
        <v>55687</v>
      </c>
      <c r="E1401" s="1">
        <v>279269</v>
      </c>
      <c r="F1401" s="2">
        <v>36402</v>
      </c>
    </row>
    <row r="1402" spans="1:6" x14ac:dyDescent="0.75">
      <c r="A1402">
        <v>2023</v>
      </c>
      <c r="B1402" t="s">
        <v>60</v>
      </c>
      <c r="C1402" t="s">
        <v>9</v>
      </c>
      <c r="D1402" s="1">
        <v>17999</v>
      </c>
      <c r="E1402" s="1">
        <v>108656</v>
      </c>
      <c r="F1402" s="2">
        <v>36377</v>
      </c>
    </row>
    <row r="1403" spans="1:6" x14ac:dyDescent="0.75">
      <c r="A1403">
        <v>2023</v>
      </c>
      <c r="B1403" t="s">
        <v>60</v>
      </c>
      <c r="C1403" t="s">
        <v>10</v>
      </c>
      <c r="D1403" s="1">
        <v>3985</v>
      </c>
      <c r="E1403" s="1">
        <v>18622</v>
      </c>
      <c r="F1403" s="2">
        <v>31284</v>
      </c>
    </row>
    <row r="1404" spans="1:6" x14ac:dyDescent="0.75">
      <c r="A1404">
        <v>2023</v>
      </c>
      <c r="B1404" t="s">
        <v>60</v>
      </c>
      <c r="C1404" t="s">
        <v>11</v>
      </c>
      <c r="D1404" s="1">
        <v>39449</v>
      </c>
      <c r="E1404" s="1">
        <v>208655</v>
      </c>
      <c r="F1404" s="2">
        <v>42392</v>
      </c>
    </row>
    <row r="1405" spans="1:6" x14ac:dyDescent="0.75">
      <c r="A1405">
        <v>2023</v>
      </c>
      <c r="B1405" t="s">
        <v>60</v>
      </c>
      <c r="C1405" t="s">
        <v>12</v>
      </c>
      <c r="D1405" s="1">
        <v>13122</v>
      </c>
      <c r="E1405" s="1">
        <v>87997</v>
      </c>
      <c r="F1405" s="2">
        <v>32900</v>
      </c>
    </row>
    <row r="1406" spans="1:6" x14ac:dyDescent="0.75">
      <c r="A1406">
        <v>2023</v>
      </c>
      <c r="B1406" t="s">
        <v>60</v>
      </c>
      <c r="C1406" t="s">
        <v>13</v>
      </c>
      <c r="D1406" s="1">
        <v>8669</v>
      </c>
      <c r="E1406" s="1">
        <v>42339</v>
      </c>
      <c r="F1406" s="2">
        <v>34313</v>
      </c>
    </row>
    <row r="1407" spans="1:6" x14ac:dyDescent="0.75">
      <c r="A1407">
        <v>2023</v>
      </c>
      <c r="B1407" t="s">
        <v>60</v>
      </c>
      <c r="C1407" t="s">
        <v>14</v>
      </c>
      <c r="D1407" s="1">
        <v>5983</v>
      </c>
      <c r="E1407" s="1">
        <v>33757</v>
      </c>
      <c r="F1407" s="2">
        <v>34478</v>
      </c>
    </row>
    <row r="1408" spans="1:6" x14ac:dyDescent="0.75">
      <c r="A1408">
        <v>2023</v>
      </c>
      <c r="B1408" t="s">
        <v>60</v>
      </c>
      <c r="C1408" t="s">
        <v>15</v>
      </c>
      <c r="D1408" s="1">
        <v>10697</v>
      </c>
      <c r="E1408" s="1">
        <v>46476</v>
      </c>
      <c r="F1408" s="2">
        <v>33616</v>
      </c>
    </row>
    <row r="1409" spans="1:6" x14ac:dyDescent="0.75">
      <c r="A1409">
        <v>2023</v>
      </c>
      <c r="B1409" t="s">
        <v>60</v>
      </c>
      <c r="C1409" t="s">
        <v>16</v>
      </c>
      <c r="D1409" s="1">
        <v>9230</v>
      </c>
      <c r="E1409" s="1">
        <v>45904</v>
      </c>
      <c r="F1409" s="2">
        <v>37854</v>
      </c>
    </row>
    <row r="1410" spans="1:6" x14ac:dyDescent="0.75">
      <c r="A1410">
        <v>2023</v>
      </c>
      <c r="B1410" t="s">
        <v>60</v>
      </c>
      <c r="C1410" t="s">
        <v>17</v>
      </c>
      <c r="D1410" s="1">
        <v>3832</v>
      </c>
      <c r="E1410" s="1">
        <v>18021</v>
      </c>
      <c r="F1410" s="2">
        <v>33967</v>
      </c>
    </row>
    <row r="1411" spans="1:6" x14ac:dyDescent="0.75">
      <c r="A1411">
        <v>2023</v>
      </c>
      <c r="B1411" t="s">
        <v>60</v>
      </c>
      <c r="C1411" t="s">
        <v>18</v>
      </c>
      <c r="D1411" s="1">
        <v>19354</v>
      </c>
      <c r="E1411" s="1">
        <v>91803</v>
      </c>
      <c r="F1411" s="2">
        <v>43222</v>
      </c>
    </row>
    <row r="1412" spans="1:6" x14ac:dyDescent="0.75">
      <c r="A1412">
        <v>2023</v>
      </c>
      <c r="B1412" t="s">
        <v>60</v>
      </c>
      <c r="C1412" t="s">
        <v>19</v>
      </c>
      <c r="D1412" s="1">
        <v>21621</v>
      </c>
      <c r="E1412" s="1">
        <v>119963</v>
      </c>
      <c r="F1412" s="2">
        <v>38569</v>
      </c>
    </row>
    <row r="1413" spans="1:6" x14ac:dyDescent="0.75">
      <c r="A1413">
        <v>2023</v>
      </c>
      <c r="B1413" t="s">
        <v>60</v>
      </c>
      <c r="C1413" t="s">
        <v>20</v>
      </c>
      <c r="D1413" s="1">
        <v>31024</v>
      </c>
      <c r="E1413" s="1">
        <v>139968</v>
      </c>
      <c r="F1413" s="2">
        <v>33275</v>
      </c>
    </row>
    <row r="1414" spans="1:6" x14ac:dyDescent="0.75">
      <c r="A1414">
        <v>2023</v>
      </c>
      <c r="B1414" t="s">
        <v>60</v>
      </c>
      <c r="C1414" t="s">
        <v>21</v>
      </c>
      <c r="D1414" s="1">
        <v>17099</v>
      </c>
      <c r="E1414" s="1">
        <v>90096</v>
      </c>
      <c r="F1414" s="2">
        <v>34221</v>
      </c>
    </row>
    <row r="1415" spans="1:6" x14ac:dyDescent="0.75">
      <c r="A1415">
        <v>2023</v>
      </c>
      <c r="B1415" t="s">
        <v>60</v>
      </c>
      <c r="C1415" t="s">
        <v>22</v>
      </c>
      <c r="D1415" s="1">
        <v>4645</v>
      </c>
      <c r="E1415" s="1">
        <v>21202</v>
      </c>
      <c r="F1415" s="2">
        <v>34491</v>
      </c>
    </row>
    <row r="1416" spans="1:6" x14ac:dyDescent="0.75">
      <c r="A1416">
        <v>2023</v>
      </c>
      <c r="B1416" t="s">
        <v>60</v>
      </c>
      <c r="C1416" t="s">
        <v>23</v>
      </c>
      <c r="D1416" s="1">
        <v>12996</v>
      </c>
      <c r="E1416" s="1">
        <v>75350</v>
      </c>
      <c r="F1416" s="2">
        <v>34075</v>
      </c>
    </row>
    <row r="1417" spans="1:6" x14ac:dyDescent="0.75">
      <c r="A1417">
        <v>2023</v>
      </c>
      <c r="B1417" t="s">
        <v>60</v>
      </c>
      <c r="C1417" t="s">
        <v>24</v>
      </c>
      <c r="D1417" s="1">
        <v>4285</v>
      </c>
      <c r="E1417" s="1">
        <v>18301</v>
      </c>
      <c r="F1417" s="2">
        <v>30293</v>
      </c>
    </row>
    <row r="1418" spans="1:6" x14ac:dyDescent="0.75">
      <c r="A1418">
        <v>2023</v>
      </c>
      <c r="B1418" t="s">
        <v>60</v>
      </c>
      <c r="C1418" t="s">
        <v>25</v>
      </c>
      <c r="D1418" s="1">
        <v>4614</v>
      </c>
      <c r="E1418" s="1">
        <v>25333</v>
      </c>
      <c r="F1418" s="2">
        <v>32212</v>
      </c>
    </row>
    <row r="1419" spans="1:6" x14ac:dyDescent="0.75">
      <c r="A1419">
        <v>2023</v>
      </c>
      <c r="B1419" t="s">
        <v>60</v>
      </c>
      <c r="C1419" t="s">
        <v>26</v>
      </c>
      <c r="D1419" s="1">
        <v>5080</v>
      </c>
      <c r="E1419" s="1">
        <v>34964</v>
      </c>
      <c r="F1419" s="2">
        <v>37484</v>
      </c>
    </row>
    <row r="1420" spans="1:6" x14ac:dyDescent="0.75">
      <c r="A1420">
        <v>2023</v>
      </c>
      <c r="B1420" t="s">
        <v>60</v>
      </c>
      <c r="C1420" t="s">
        <v>27</v>
      </c>
      <c r="D1420" s="1">
        <v>3934</v>
      </c>
      <c r="E1420" s="1">
        <v>20991</v>
      </c>
      <c r="F1420" s="2">
        <v>37927</v>
      </c>
    </row>
    <row r="1421" spans="1:6" x14ac:dyDescent="0.75">
      <c r="A1421">
        <v>2023</v>
      </c>
      <c r="B1421" t="s">
        <v>60</v>
      </c>
      <c r="C1421" t="s">
        <v>28</v>
      </c>
      <c r="D1421" s="1">
        <v>24105</v>
      </c>
      <c r="E1421" s="1">
        <v>135824</v>
      </c>
      <c r="F1421" s="2">
        <v>36518</v>
      </c>
    </row>
    <row r="1422" spans="1:6" x14ac:dyDescent="0.75">
      <c r="A1422">
        <v>2023</v>
      </c>
      <c r="B1422" t="s">
        <v>60</v>
      </c>
      <c r="C1422" t="s">
        <v>29</v>
      </c>
      <c r="D1422" s="1">
        <v>4073</v>
      </c>
      <c r="E1422" s="1">
        <v>20964</v>
      </c>
      <c r="F1422" s="2">
        <v>34365</v>
      </c>
    </row>
    <row r="1423" spans="1:6" x14ac:dyDescent="0.75">
      <c r="A1423">
        <v>2023</v>
      </c>
      <c r="B1423" t="s">
        <v>60</v>
      </c>
      <c r="C1423" t="s">
        <v>30</v>
      </c>
      <c r="D1423" s="1">
        <v>73275</v>
      </c>
      <c r="E1423" s="1">
        <v>370268</v>
      </c>
      <c r="F1423" s="2">
        <v>41910</v>
      </c>
    </row>
    <row r="1424" spans="1:6" x14ac:dyDescent="0.75">
      <c r="A1424">
        <v>2023</v>
      </c>
      <c r="B1424" t="s">
        <v>60</v>
      </c>
      <c r="C1424" t="s">
        <v>31</v>
      </c>
      <c r="D1424" s="1">
        <v>23444</v>
      </c>
      <c r="E1424" s="1">
        <v>109986</v>
      </c>
      <c r="F1424" s="2">
        <v>35102</v>
      </c>
    </row>
    <row r="1425" spans="1:6" x14ac:dyDescent="0.75">
      <c r="A1425">
        <v>2023</v>
      </c>
      <c r="B1425" t="s">
        <v>60</v>
      </c>
      <c r="C1425" t="s">
        <v>32</v>
      </c>
      <c r="D1425" s="1">
        <v>2051</v>
      </c>
      <c r="E1425" s="1">
        <v>11307</v>
      </c>
      <c r="F1425" s="2">
        <v>37216</v>
      </c>
    </row>
    <row r="1426" spans="1:6" x14ac:dyDescent="0.75">
      <c r="A1426">
        <v>2023</v>
      </c>
      <c r="B1426" t="s">
        <v>60</v>
      </c>
      <c r="C1426" t="s">
        <v>33</v>
      </c>
      <c r="D1426" s="1">
        <v>23542</v>
      </c>
      <c r="E1426" s="1">
        <v>156685</v>
      </c>
      <c r="F1426" s="2">
        <v>34001</v>
      </c>
    </row>
    <row r="1427" spans="1:6" x14ac:dyDescent="0.75">
      <c r="A1427">
        <v>2023</v>
      </c>
      <c r="B1427" t="s">
        <v>60</v>
      </c>
      <c r="C1427" t="s">
        <v>34</v>
      </c>
      <c r="D1427" s="1">
        <v>6640</v>
      </c>
      <c r="E1427" s="1">
        <v>36417</v>
      </c>
      <c r="F1427" s="2">
        <v>35221</v>
      </c>
    </row>
    <row r="1428" spans="1:6" x14ac:dyDescent="0.75">
      <c r="A1428">
        <v>2023</v>
      </c>
      <c r="B1428" t="s">
        <v>60</v>
      </c>
      <c r="C1428" t="s">
        <v>35</v>
      </c>
      <c r="D1428" s="1">
        <v>24302</v>
      </c>
      <c r="E1428" s="1">
        <v>77296</v>
      </c>
      <c r="F1428" s="2">
        <v>34031</v>
      </c>
    </row>
    <row r="1429" spans="1:6" x14ac:dyDescent="0.75">
      <c r="A1429">
        <v>2023</v>
      </c>
      <c r="B1429" t="s">
        <v>60</v>
      </c>
      <c r="C1429" t="s">
        <v>36</v>
      </c>
      <c r="D1429" s="1">
        <v>32530</v>
      </c>
      <c r="E1429" s="1">
        <v>199883</v>
      </c>
      <c r="F1429" s="2">
        <v>33988</v>
      </c>
    </row>
    <row r="1430" spans="1:6" x14ac:dyDescent="0.75">
      <c r="A1430">
        <v>2023</v>
      </c>
      <c r="B1430" t="s">
        <v>60</v>
      </c>
      <c r="C1430" t="s">
        <v>37</v>
      </c>
      <c r="D1430" s="1">
        <v>3459</v>
      </c>
      <c r="E1430" s="1">
        <v>17990</v>
      </c>
      <c r="F1430" s="2">
        <v>33322</v>
      </c>
    </row>
    <row r="1431" spans="1:6" x14ac:dyDescent="0.75">
      <c r="A1431">
        <v>2023</v>
      </c>
      <c r="B1431" t="s">
        <v>60</v>
      </c>
      <c r="C1431" t="s">
        <v>38</v>
      </c>
      <c r="D1431" s="1">
        <v>11329</v>
      </c>
      <c r="E1431" s="1">
        <v>53632</v>
      </c>
      <c r="F1431" s="2">
        <v>32985</v>
      </c>
    </row>
    <row r="1432" spans="1:6" x14ac:dyDescent="0.75">
      <c r="A1432">
        <v>2023</v>
      </c>
      <c r="B1432" t="s">
        <v>60</v>
      </c>
      <c r="C1432" t="s">
        <v>39</v>
      </c>
      <c r="D1432" s="1">
        <v>2201</v>
      </c>
      <c r="E1432" s="1">
        <v>11149</v>
      </c>
      <c r="F1432" s="2">
        <v>32874</v>
      </c>
    </row>
    <row r="1433" spans="1:6" x14ac:dyDescent="0.75">
      <c r="A1433">
        <v>2023</v>
      </c>
      <c r="B1433" t="s">
        <v>60</v>
      </c>
      <c r="C1433" t="s">
        <v>40</v>
      </c>
      <c r="D1433" s="1">
        <v>15494</v>
      </c>
      <c r="E1433" s="1">
        <v>78706</v>
      </c>
      <c r="F1433" s="2">
        <v>35137</v>
      </c>
    </row>
    <row r="1434" spans="1:6" x14ac:dyDescent="0.75">
      <c r="A1434">
        <v>2023</v>
      </c>
      <c r="B1434" t="s">
        <v>60</v>
      </c>
      <c r="C1434" t="s">
        <v>41</v>
      </c>
      <c r="D1434" s="1">
        <v>56598</v>
      </c>
      <c r="E1434" s="1">
        <v>334126</v>
      </c>
      <c r="F1434" s="2">
        <v>39429</v>
      </c>
    </row>
    <row r="1435" spans="1:6" x14ac:dyDescent="0.75">
      <c r="A1435">
        <v>2023</v>
      </c>
      <c r="B1435" t="s">
        <v>60</v>
      </c>
      <c r="C1435" t="s">
        <v>42</v>
      </c>
      <c r="D1435" s="1">
        <v>6320</v>
      </c>
      <c r="E1435" s="1">
        <v>36120</v>
      </c>
      <c r="F1435" s="2">
        <v>35627</v>
      </c>
    </row>
    <row r="1436" spans="1:6" x14ac:dyDescent="0.75">
      <c r="A1436">
        <v>2023</v>
      </c>
      <c r="B1436" t="s">
        <v>60</v>
      </c>
      <c r="C1436" t="s">
        <v>43</v>
      </c>
      <c r="D1436" s="1">
        <v>1954</v>
      </c>
      <c r="E1436" s="1">
        <v>8748</v>
      </c>
      <c r="F1436" s="2">
        <v>36288</v>
      </c>
    </row>
    <row r="1437" spans="1:6" x14ac:dyDescent="0.75">
      <c r="A1437">
        <v>2023</v>
      </c>
      <c r="B1437" t="s">
        <v>60</v>
      </c>
      <c r="C1437" t="s">
        <v>44</v>
      </c>
      <c r="D1437" s="1">
        <v>36204</v>
      </c>
      <c r="E1437" s="1">
        <v>145640</v>
      </c>
      <c r="F1437" s="2">
        <v>42804</v>
      </c>
    </row>
    <row r="1438" spans="1:6" x14ac:dyDescent="0.75">
      <c r="A1438">
        <v>2023</v>
      </c>
      <c r="B1438" t="s">
        <v>60</v>
      </c>
      <c r="C1438" t="s">
        <v>45</v>
      </c>
      <c r="D1438" s="1">
        <v>19893</v>
      </c>
      <c r="E1438" s="1">
        <v>99054</v>
      </c>
      <c r="F1438" s="2">
        <v>40310</v>
      </c>
    </row>
    <row r="1439" spans="1:6" x14ac:dyDescent="0.75">
      <c r="A1439">
        <v>2023</v>
      </c>
      <c r="B1439" t="s">
        <v>60</v>
      </c>
      <c r="C1439" t="s">
        <v>46</v>
      </c>
      <c r="D1439" s="1">
        <v>5536</v>
      </c>
      <c r="E1439" s="1">
        <v>19873</v>
      </c>
      <c r="F1439" s="2">
        <v>31425</v>
      </c>
    </row>
    <row r="1440" spans="1:6" x14ac:dyDescent="0.75">
      <c r="A1440">
        <v>2023</v>
      </c>
      <c r="B1440" t="s">
        <v>60</v>
      </c>
      <c r="C1440" t="s">
        <v>47</v>
      </c>
      <c r="D1440" s="1">
        <v>14009</v>
      </c>
      <c r="E1440" s="1">
        <v>84183</v>
      </c>
      <c r="F1440" s="2">
        <v>30593</v>
      </c>
    </row>
    <row r="1441" spans="1:6" x14ac:dyDescent="0.75">
      <c r="A1441">
        <v>2023</v>
      </c>
      <c r="B1441" t="s">
        <v>60</v>
      </c>
      <c r="C1441" t="s">
        <v>48</v>
      </c>
      <c r="D1441" s="1">
        <v>1664</v>
      </c>
      <c r="E1441" s="1">
        <v>7261</v>
      </c>
      <c r="F1441" s="2">
        <v>37155</v>
      </c>
    </row>
    <row r="1442" spans="1:6" x14ac:dyDescent="0.75">
      <c r="A1442">
        <v>2022</v>
      </c>
      <c r="B1442" t="s">
        <v>55</v>
      </c>
      <c r="C1442" t="s">
        <v>1</v>
      </c>
      <c r="D1442" s="1">
        <v>1815</v>
      </c>
      <c r="E1442" s="1">
        <v>17999</v>
      </c>
      <c r="F1442" s="2">
        <v>52748</v>
      </c>
    </row>
    <row r="1443" spans="1:6" x14ac:dyDescent="0.75">
      <c r="A1443">
        <v>2022</v>
      </c>
      <c r="B1443" t="s">
        <v>55</v>
      </c>
      <c r="C1443" t="s">
        <v>2</v>
      </c>
      <c r="D1443" s="1">
        <v>1257</v>
      </c>
      <c r="E1443" s="1">
        <v>37216</v>
      </c>
      <c r="F1443" s="2">
        <v>47116</v>
      </c>
    </row>
    <row r="1444" spans="1:6" x14ac:dyDescent="0.75">
      <c r="A1444">
        <v>2022</v>
      </c>
      <c r="B1444" t="s">
        <v>55</v>
      </c>
      <c r="C1444" t="s">
        <v>3</v>
      </c>
      <c r="D1444" s="1">
        <v>2551</v>
      </c>
      <c r="E1444" s="1">
        <v>16476</v>
      </c>
      <c r="F1444" s="2">
        <v>46191</v>
      </c>
    </row>
    <row r="1445" spans="1:6" x14ac:dyDescent="0.75">
      <c r="A1445">
        <v>2022</v>
      </c>
      <c r="B1445" t="s">
        <v>55</v>
      </c>
      <c r="C1445" t="s">
        <v>4</v>
      </c>
      <c r="D1445" s="1">
        <v>17021</v>
      </c>
      <c r="E1445" s="1">
        <v>441460</v>
      </c>
      <c r="F1445" s="2">
        <v>37249</v>
      </c>
    </row>
    <row r="1446" spans="1:6" x14ac:dyDescent="0.75">
      <c r="A1446">
        <v>2022</v>
      </c>
      <c r="B1446" t="s">
        <v>55</v>
      </c>
      <c r="C1446" t="s">
        <v>5</v>
      </c>
      <c r="D1446" s="1">
        <v>3202</v>
      </c>
      <c r="E1446" s="1">
        <v>43394</v>
      </c>
      <c r="F1446" s="2">
        <v>84161</v>
      </c>
    </row>
    <row r="1447" spans="1:6" x14ac:dyDescent="0.75">
      <c r="A1447">
        <v>2022</v>
      </c>
      <c r="B1447" t="s">
        <v>55</v>
      </c>
      <c r="C1447" t="s">
        <v>6</v>
      </c>
      <c r="D1447">
        <v>433</v>
      </c>
      <c r="E1447" s="1">
        <v>5305</v>
      </c>
      <c r="F1447" s="2">
        <v>40017</v>
      </c>
    </row>
    <row r="1448" spans="1:6" x14ac:dyDescent="0.75">
      <c r="A1448">
        <v>2022</v>
      </c>
      <c r="B1448" t="s">
        <v>55</v>
      </c>
      <c r="C1448" t="s">
        <v>7</v>
      </c>
      <c r="D1448">
        <v>177</v>
      </c>
      <c r="E1448" s="1">
        <v>1538</v>
      </c>
      <c r="F1448" s="2">
        <v>39651</v>
      </c>
    </row>
    <row r="1449" spans="1:6" x14ac:dyDescent="0.75">
      <c r="A1449">
        <v>2022</v>
      </c>
      <c r="B1449" t="s">
        <v>55</v>
      </c>
      <c r="C1449" t="s">
        <v>8</v>
      </c>
      <c r="D1449" s="1">
        <v>5285</v>
      </c>
      <c r="E1449" s="1">
        <v>75471</v>
      </c>
      <c r="F1449" s="2">
        <v>32773</v>
      </c>
    </row>
    <row r="1450" spans="1:6" x14ac:dyDescent="0.75">
      <c r="A1450">
        <v>2022</v>
      </c>
      <c r="B1450" t="s">
        <v>55</v>
      </c>
      <c r="C1450" t="s">
        <v>9</v>
      </c>
      <c r="D1450" s="1">
        <v>2594</v>
      </c>
      <c r="E1450" s="1">
        <v>29299</v>
      </c>
      <c r="F1450" s="2">
        <v>41048</v>
      </c>
    </row>
    <row r="1451" spans="1:6" x14ac:dyDescent="0.75">
      <c r="A1451">
        <v>2022</v>
      </c>
      <c r="B1451" t="s">
        <v>55</v>
      </c>
      <c r="C1451" t="s">
        <v>10</v>
      </c>
      <c r="D1451" s="1">
        <v>2448</v>
      </c>
      <c r="E1451" s="1">
        <v>26790</v>
      </c>
      <c r="F1451" s="2">
        <v>38417</v>
      </c>
    </row>
    <row r="1452" spans="1:6" x14ac:dyDescent="0.75">
      <c r="A1452">
        <v>2022</v>
      </c>
      <c r="B1452" t="s">
        <v>55</v>
      </c>
      <c r="C1452" t="s">
        <v>11</v>
      </c>
      <c r="D1452" s="1">
        <v>2730</v>
      </c>
      <c r="E1452" s="1">
        <v>26665</v>
      </c>
      <c r="F1452" s="2">
        <v>48549</v>
      </c>
    </row>
    <row r="1453" spans="1:6" x14ac:dyDescent="0.75">
      <c r="A1453">
        <v>2022</v>
      </c>
      <c r="B1453" t="s">
        <v>55</v>
      </c>
      <c r="C1453" t="s">
        <v>12</v>
      </c>
      <c r="D1453" s="1">
        <v>2183</v>
      </c>
      <c r="E1453" s="1">
        <v>21072</v>
      </c>
      <c r="F1453" s="2">
        <v>47269</v>
      </c>
    </row>
    <row r="1454" spans="1:6" x14ac:dyDescent="0.75">
      <c r="A1454">
        <v>2022</v>
      </c>
      <c r="B1454" t="s">
        <v>55</v>
      </c>
      <c r="C1454" t="s">
        <v>13</v>
      </c>
      <c r="D1454" s="1">
        <v>2766</v>
      </c>
      <c r="E1454" s="1">
        <v>22503</v>
      </c>
      <c r="F1454" s="2">
        <v>41388</v>
      </c>
    </row>
    <row r="1455" spans="1:6" x14ac:dyDescent="0.75">
      <c r="A1455">
        <v>2022</v>
      </c>
      <c r="B1455" t="s">
        <v>55</v>
      </c>
      <c r="C1455" t="s">
        <v>14</v>
      </c>
      <c r="D1455" s="1">
        <v>2686</v>
      </c>
      <c r="E1455" s="1">
        <v>19024</v>
      </c>
      <c r="F1455" s="2">
        <v>45105</v>
      </c>
    </row>
    <row r="1456" spans="1:6" x14ac:dyDescent="0.75">
      <c r="A1456">
        <v>2022</v>
      </c>
      <c r="B1456" t="s">
        <v>55</v>
      </c>
      <c r="C1456" t="s">
        <v>15</v>
      </c>
      <c r="D1456" s="1">
        <v>1584</v>
      </c>
      <c r="E1456" s="1">
        <v>18306</v>
      </c>
      <c r="F1456" s="2">
        <v>54943</v>
      </c>
    </row>
    <row r="1457" spans="1:6" x14ac:dyDescent="0.75">
      <c r="A1457">
        <v>2022</v>
      </c>
      <c r="B1457" t="s">
        <v>55</v>
      </c>
      <c r="C1457" t="s">
        <v>16</v>
      </c>
      <c r="D1457" s="1">
        <v>3082</v>
      </c>
      <c r="E1457" s="1">
        <v>42251</v>
      </c>
      <c r="F1457" s="2">
        <v>80128</v>
      </c>
    </row>
    <row r="1458" spans="1:6" x14ac:dyDescent="0.75">
      <c r="A1458">
        <v>2022</v>
      </c>
      <c r="B1458" t="s">
        <v>55</v>
      </c>
      <c r="C1458" t="s">
        <v>17</v>
      </c>
      <c r="D1458" s="1">
        <v>1370</v>
      </c>
      <c r="E1458" s="1">
        <v>6817</v>
      </c>
      <c r="F1458" s="2">
        <v>40118</v>
      </c>
    </row>
    <row r="1459" spans="1:6" x14ac:dyDescent="0.75">
      <c r="A1459">
        <v>2022</v>
      </c>
      <c r="B1459" t="s">
        <v>55</v>
      </c>
      <c r="C1459" t="s">
        <v>18</v>
      </c>
      <c r="D1459">
        <v>723</v>
      </c>
      <c r="E1459" s="1">
        <v>6432</v>
      </c>
      <c r="F1459" s="2">
        <v>42478</v>
      </c>
    </row>
    <row r="1460" spans="1:6" x14ac:dyDescent="0.75">
      <c r="A1460">
        <v>2022</v>
      </c>
      <c r="B1460" t="s">
        <v>55</v>
      </c>
      <c r="C1460" t="s">
        <v>19</v>
      </c>
      <c r="D1460" s="1">
        <v>1030</v>
      </c>
      <c r="E1460" s="1">
        <v>9290</v>
      </c>
      <c r="F1460" s="2">
        <v>61286</v>
      </c>
    </row>
    <row r="1461" spans="1:6" x14ac:dyDescent="0.75">
      <c r="A1461">
        <v>2022</v>
      </c>
      <c r="B1461" t="s">
        <v>55</v>
      </c>
      <c r="C1461" t="s">
        <v>20</v>
      </c>
      <c r="D1461" s="1">
        <v>3203</v>
      </c>
      <c r="E1461" s="1">
        <v>36801</v>
      </c>
      <c r="F1461" s="2">
        <v>38160</v>
      </c>
    </row>
    <row r="1462" spans="1:6" x14ac:dyDescent="0.75">
      <c r="A1462">
        <v>2022</v>
      </c>
      <c r="B1462" t="s">
        <v>55</v>
      </c>
      <c r="C1462" t="s">
        <v>21</v>
      </c>
      <c r="D1462" s="1">
        <v>2992</v>
      </c>
      <c r="E1462" s="1">
        <v>27804</v>
      </c>
      <c r="F1462" s="2">
        <v>47599</v>
      </c>
    </row>
    <row r="1463" spans="1:6" x14ac:dyDescent="0.75">
      <c r="A1463">
        <v>2022</v>
      </c>
      <c r="B1463" t="s">
        <v>55</v>
      </c>
      <c r="C1463" t="s">
        <v>22</v>
      </c>
      <c r="D1463" s="1">
        <v>2168</v>
      </c>
      <c r="E1463" s="1">
        <v>16360</v>
      </c>
      <c r="F1463" s="2">
        <v>45681</v>
      </c>
    </row>
    <row r="1464" spans="1:6" x14ac:dyDescent="0.75">
      <c r="A1464">
        <v>2022</v>
      </c>
      <c r="B1464" t="s">
        <v>55</v>
      </c>
      <c r="C1464" t="s">
        <v>23</v>
      </c>
      <c r="D1464" s="1">
        <v>1950</v>
      </c>
      <c r="E1464" s="1">
        <v>16365</v>
      </c>
      <c r="F1464" s="2">
        <v>42894</v>
      </c>
    </row>
    <row r="1465" spans="1:6" x14ac:dyDescent="0.75">
      <c r="A1465">
        <v>2022</v>
      </c>
      <c r="B1465" t="s">
        <v>55</v>
      </c>
      <c r="C1465" t="s">
        <v>24</v>
      </c>
      <c r="D1465" s="1">
        <v>1753</v>
      </c>
      <c r="E1465" s="1">
        <v>11976</v>
      </c>
      <c r="F1465" s="2">
        <v>64781</v>
      </c>
    </row>
    <row r="1466" spans="1:6" x14ac:dyDescent="0.75">
      <c r="A1466">
        <v>2022</v>
      </c>
      <c r="B1466" t="s">
        <v>55</v>
      </c>
      <c r="C1466" t="s">
        <v>25</v>
      </c>
      <c r="D1466" s="1">
        <v>2337</v>
      </c>
      <c r="E1466" s="1">
        <v>15500</v>
      </c>
      <c r="F1466" s="2">
        <v>39544</v>
      </c>
    </row>
    <row r="1467" spans="1:6" x14ac:dyDescent="0.75">
      <c r="A1467">
        <v>2022</v>
      </c>
      <c r="B1467" t="s">
        <v>55</v>
      </c>
      <c r="C1467" t="s">
        <v>26</v>
      </c>
      <c r="D1467">
        <v>612</v>
      </c>
      <c r="E1467" s="1">
        <v>17902</v>
      </c>
      <c r="F1467" s="2">
        <v>82999</v>
      </c>
    </row>
    <row r="1468" spans="1:6" x14ac:dyDescent="0.75">
      <c r="A1468">
        <v>2022</v>
      </c>
      <c r="B1468" t="s">
        <v>55</v>
      </c>
      <c r="C1468" t="s">
        <v>27</v>
      </c>
      <c r="D1468">
        <v>350</v>
      </c>
      <c r="E1468" s="1">
        <v>2556</v>
      </c>
      <c r="F1468" s="2">
        <v>41972</v>
      </c>
    </row>
    <row r="1469" spans="1:6" x14ac:dyDescent="0.75">
      <c r="A1469">
        <v>2022</v>
      </c>
      <c r="B1469" t="s">
        <v>55</v>
      </c>
      <c r="C1469" t="s">
        <v>28</v>
      </c>
      <c r="D1469" s="1">
        <v>1018</v>
      </c>
      <c r="E1469" s="1">
        <v>12853</v>
      </c>
      <c r="F1469" s="2">
        <v>37279</v>
      </c>
    </row>
    <row r="1470" spans="1:6" x14ac:dyDescent="0.75">
      <c r="A1470">
        <v>2022</v>
      </c>
      <c r="B1470" t="s">
        <v>55</v>
      </c>
      <c r="C1470" t="s">
        <v>29</v>
      </c>
      <c r="D1470" s="1">
        <v>1991</v>
      </c>
      <c r="E1470" s="1">
        <v>32275</v>
      </c>
      <c r="F1470" s="2">
        <v>59989</v>
      </c>
    </row>
    <row r="1471" spans="1:6" x14ac:dyDescent="0.75">
      <c r="A1471">
        <v>2022</v>
      </c>
      <c r="B1471" t="s">
        <v>55</v>
      </c>
      <c r="C1471" t="s">
        <v>30</v>
      </c>
      <c r="D1471" s="1">
        <v>3023</v>
      </c>
      <c r="E1471" s="1">
        <v>30834</v>
      </c>
      <c r="F1471" s="2">
        <v>39487</v>
      </c>
    </row>
    <row r="1472" spans="1:6" x14ac:dyDescent="0.75">
      <c r="A1472">
        <v>2022</v>
      </c>
      <c r="B1472" t="s">
        <v>55</v>
      </c>
      <c r="C1472" t="s">
        <v>31</v>
      </c>
      <c r="D1472" s="1">
        <v>3306</v>
      </c>
      <c r="E1472" s="1">
        <v>30981</v>
      </c>
      <c r="F1472" s="2">
        <v>37636</v>
      </c>
    </row>
    <row r="1473" spans="1:6" x14ac:dyDescent="0.75">
      <c r="A1473">
        <v>2022</v>
      </c>
      <c r="B1473" t="s">
        <v>55</v>
      </c>
      <c r="C1473" t="s">
        <v>32</v>
      </c>
      <c r="D1473" s="1">
        <v>1771</v>
      </c>
      <c r="E1473" s="1">
        <v>22394</v>
      </c>
      <c r="F1473" s="2">
        <v>89578</v>
      </c>
    </row>
    <row r="1474" spans="1:6" x14ac:dyDescent="0.75">
      <c r="A1474">
        <v>2022</v>
      </c>
      <c r="B1474" t="s">
        <v>55</v>
      </c>
      <c r="C1474" t="s">
        <v>33</v>
      </c>
      <c r="D1474" s="1">
        <v>2483</v>
      </c>
      <c r="E1474" s="1">
        <v>27504</v>
      </c>
      <c r="F1474" s="2">
        <v>48849</v>
      </c>
    </row>
    <row r="1475" spans="1:6" x14ac:dyDescent="0.75">
      <c r="A1475">
        <v>2022</v>
      </c>
      <c r="B1475" t="s">
        <v>55</v>
      </c>
      <c r="C1475" t="s">
        <v>34</v>
      </c>
      <c r="D1475" s="1">
        <v>4333</v>
      </c>
      <c r="E1475" s="1">
        <v>58716</v>
      </c>
      <c r="F1475" s="2">
        <v>88899</v>
      </c>
    </row>
    <row r="1476" spans="1:6" x14ac:dyDescent="0.75">
      <c r="A1476">
        <v>2022</v>
      </c>
      <c r="B1476" t="s">
        <v>55</v>
      </c>
      <c r="C1476" t="s">
        <v>35</v>
      </c>
      <c r="D1476" s="1">
        <v>4453</v>
      </c>
      <c r="E1476" s="1">
        <v>52439</v>
      </c>
      <c r="F1476" s="2">
        <v>35362</v>
      </c>
    </row>
    <row r="1477" spans="1:6" x14ac:dyDescent="0.75">
      <c r="A1477">
        <v>2022</v>
      </c>
      <c r="B1477" t="s">
        <v>55</v>
      </c>
      <c r="C1477" t="s">
        <v>36</v>
      </c>
      <c r="D1477" s="1">
        <v>3498</v>
      </c>
      <c r="E1477" s="1">
        <v>50197</v>
      </c>
      <c r="F1477" s="2">
        <v>63021</v>
      </c>
    </row>
    <row r="1478" spans="1:6" x14ac:dyDescent="0.75">
      <c r="A1478">
        <v>2022</v>
      </c>
      <c r="B1478" t="s">
        <v>55</v>
      </c>
      <c r="C1478" t="s">
        <v>38</v>
      </c>
      <c r="D1478" s="1">
        <v>1230</v>
      </c>
      <c r="E1478" s="1">
        <v>12432</v>
      </c>
      <c r="F1478" s="2">
        <v>40520</v>
      </c>
    </row>
    <row r="1479" spans="1:6" x14ac:dyDescent="0.75">
      <c r="A1479">
        <v>2022</v>
      </c>
      <c r="B1479" t="s">
        <v>55</v>
      </c>
      <c r="C1479" t="s">
        <v>39</v>
      </c>
      <c r="D1479" s="1">
        <v>1026</v>
      </c>
      <c r="E1479" s="1">
        <v>6646</v>
      </c>
      <c r="F1479" s="2">
        <v>41459</v>
      </c>
    </row>
    <row r="1480" spans="1:6" x14ac:dyDescent="0.75">
      <c r="A1480">
        <v>2022</v>
      </c>
      <c r="B1480" t="s">
        <v>55</v>
      </c>
      <c r="C1480" t="s">
        <v>40</v>
      </c>
      <c r="D1480" s="1">
        <v>1071</v>
      </c>
      <c r="E1480" s="1">
        <v>10750</v>
      </c>
      <c r="F1480" s="2">
        <v>43908</v>
      </c>
    </row>
    <row r="1481" spans="1:6" x14ac:dyDescent="0.75">
      <c r="A1481">
        <v>2022</v>
      </c>
      <c r="B1481" t="s">
        <v>55</v>
      </c>
      <c r="C1481" t="s">
        <v>41</v>
      </c>
      <c r="D1481" s="1">
        <v>19580</v>
      </c>
      <c r="E1481" s="1">
        <v>281110</v>
      </c>
      <c r="F1481" s="2">
        <v>107415</v>
      </c>
    </row>
    <row r="1482" spans="1:6" x14ac:dyDescent="0.75">
      <c r="A1482">
        <v>2022</v>
      </c>
      <c r="B1482" t="s">
        <v>55</v>
      </c>
      <c r="C1482" t="s">
        <v>42</v>
      </c>
      <c r="D1482" s="1">
        <v>1034</v>
      </c>
      <c r="E1482" s="1">
        <v>14217</v>
      </c>
      <c r="F1482" s="2">
        <v>59120</v>
      </c>
    </row>
    <row r="1483" spans="1:6" x14ac:dyDescent="0.75">
      <c r="A1483">
        <v>2022</v>
      </c>
      <c r="B1483" t="s">
        <v>55</v>
      </c>
      <c r="C1483" t="s">
        <v>43</v>
      </c>
      <c r="D1483">
        <v>551</v>
      </c>
      <c r="E1483" s="1">
        <v>3901</v>
      </c>
      <c r="F1483" s="2">
        <v>37223</v>
      </c>
    </row>
    <row r="1484" spans="1:6" x14ac:dyDescent="0.75">
      <c r="A1484">
        <v>2022</v>
      </c>
      <c r="B1484" t="s">
        <v>55</v>
      </c>
      <c r="C1484" t="s">
        <v>44</v>
      </c>
      <c r="D1484" s="1">
        <v>2061</v>
      </c>
      <c r="E1484" s="1">
        <v>19558</v>
      </c>
      <c r="F1484" s="2">
        <v>44371</v>
      </c>
    </row>
    <row r="1485" spans="1:6" x14ac:dyDescent="0.75">
      <c r="A1485">
        <v>2022</v>
      </c>
      <c r="B1485" t="s">
        <v>55</v>
      </c>
      <c r="C1485" t="s">
        <v>45</v>
      </c>
      <c r="D1485" s="1">
        <v>7493</v>
      </c>
      <c r="E1485" s="1">
        <v>107674</v>
      </c>
      <c r="F1485" s="2">
        <v>32082</v>
      </c>
    </row>
    <row r="1486" spans="1:6" x14ac:dyDescent="0.75">
      <c r="A1486">
        <v>2022</v>
      </c>
      <c r="B1486" t="s">
        <v>55</v>
      </c>
      <c r="C1486" t="s">
        <v>46</v>
      </c>
      <c r="D1486" s="1">
        <v>1221</v>
      </c>
      <c r="E1486" s="1">
        <v>22793</v>
      </c>
      <c r="F1486" s="2">
        <v>76848</v>
      </c>
    </row>
    <row r="1487" spans="1:6" x14ac:dyDescent="0.75">
      <c r="A1487">
        <v>2022</v>
      </c>
      <c r="B1487" t="s">
        <v>55</v>
      </c>
      <c r="C1487" t="s">
        <v>47</v>
      </c>
      <c r="D1487" s="1">
        <v>2865</v>
      </c>
      <c r="E1487" s="1">
        <v>31986</v>
      </c>
      <c r="F1487" s="2">
        <v>37981</v>
      </c>
    </row>
    <row r="1488" spans="1:6" x14ac:dyDescent="0.75">
      <c r="A1488">
        <v>2022</v>
      </c>
      <c r="B1488" t="s">
        <v>55</v>
      </c>
      <c r="C1488" t="s">
        <v>48</v>
      </c>
      <c r="D1488" s="1">
        <v>1442</v>
      </c>
      <c r="E1488" s="1">
        <v>22390</v>
      </c>
      <c r="F1488" s="2">
        <v>81163</v>
      </c>
    </row>
    <row r="1489" spans="1:6" x14ac:dyDescent="0.75">
      <c r="A1489">
        <v>2022</v>
      </c>
      <c r="B1489" t="s">
        <v>51</v>
      </c>
      <c r="C1489" t="s">
        <v>1</v>
      </c>
      <c r="D1489" s="1">
        <v>9645</v>
      </c>
      <c r="E1489" s="1">
        <v>85262</v>
      </c>
      <c r="F1489" s="2">
        <v>52230</v>
      </c>
    </row>
    <row r="1490" spans="1:6" x14ac:dyDescent="0.75">
      <c r="A1490">
        <v>2022</v>
      </c>
      <c r="B1490" t="s">
        <v>51</v>
      </c>
      <c r="C1490" t="s">
        <v>2</v>
      </c>
      <c r="D1490" s="1">
        <v>11368</v>
      </c>
      <c r="E1490" s="1">
        <v>144747</v>
      </c>
      <c r="F1490" s="2">
        <v>53440</v>
      </c>
    </row>
    <row r="1491" spans="1:6" x14ac:dyDescent="0.75">
      <c r="A1491">
        <v>2022</v>
      </c>
      <c r="B1491" t="s">
        <v>51</v>
      </c>
      <c r="C1491" t="s">
        <v>3</v>
      </c>
      <c r="D1491" s="1">
        <v>6817</v>
      </c>
      <c r="E1491" s="1">
        <v>51130</v>
      </c>
      <c r="F1491" s="2">
        <v>47283</v>
      </c>
    </row>
    <row r="1492" spans="1:6" x14ac:dyDescent="0.75">
      <c r="A1492">
        <v>2022</v>
      </c>
      <c r="B1492" t="s">
        <v>51</v>
      </c>
      <c r="C1492" t="s">
        <v>4</v>
      </c>
      <c r="D1492" s="1">
        <v>72972</v>
      </c>
      <c r="E1492" s="1">
        <v>805942</v>
      </c>
      <c r="F1492" s="2">
        <v>67561</v>
      </c>
    </row>
    <row r="1493" spans="1:6" x14ac:dyDescent="0.75">
      <c r="A1493">
        <v>2022</v>
      </c>
      <c r="B1493" t="s">
        <v>51</v>
      </c>
      <c r="C1493" t="s">
        <v>5</v>
      </c>
      <c r="D1493" s="1">
        <v>19243</v>
      </c>
      <c r="E1493" s="1">
        <v>163473</v>
      </c>
      <c r="F1493" s="2">
        <v>59444</v>
      </c>
    </row>
    <row r="1494" spans="1:6" x14ac:dyDescent="0.75">
      <c r="A1494">
        <v>2022</v>
      </c>
      <c r="B1494" t="s">
        <v>51</v>
      </c>
      <c r="C1494" t="s">
        <v>6</v>
      </c>
      <c r="D1494" s="1">
        <v>9351</v>
      </c>
      <c r="E1494" s="1">
        <v>58327</v>
      </c>
      <c r="F1494" s="2">
        <v>68641</v>
      </c>
    </row>
    <row r="1495" spans="1:6" x14ac:dyDescent="0.75">
      <c r="A1495">
        <v>2022</v>
      </c>
      <c r="B1495" t="s">
        <v>51</v>
      </c>
      <c r="C1495" t="s">
        <v>7</v>
      </c>
      <c r="D1495" s="1">
        <v>2777</v>
      </c>
      <c r="E1495" s="1">
        <v>21591</v>
      </c>
      <c r="F1495" s="2">
        <v>59040</v>
      </c>
    </row>
    <row r="1496" spans="1:6" x14ac:dyDescent="0.75">
      <c r="A1496">
        <v>2022</v>
      </c>
      <c r="B1496" t="s">
        <v>51</v>
      </c>
      <c r="C1496" t="s">
        <v>8</v>
      </c>
      <c r="D1496" s="1">
        <v>67384</v>
      </c>
      <c r="E1496" s="1">
        <v>503704</v>
      </c>
      <c r="F1496" s="2">
        <v>49256</v>
      </c>
    </row>
    <row r="1497" spans="1:6" x14ac:dyDescent="0.75">
      <c r="A1497">
        <v>2022</v>
      </c>
      <c r="B1497" t="s">
        <v>51</v>
      </c>
      <c r="C1497" t="s">
        <v>9</v>
      </c>
      <c r="D1497" s="1">
        <v>20135</v>
      </c>
      <c r="E1497" s="1">
        <v>182259</v>
      </c>
      <c r="F1497" s="2">
        <v>58213</v>
      </c>
    </row>
    <row r="1498" spans="1:6" x14ac:dyDescent="0.75">
      <c r="A1498">
        <v>2022</v>
      </c>
      <c r="B1498" t="s">
        <v>51</v>
      </c>
      <c r="C1498" t="s">
        <v>10</v>
      </c>
      <c r="D1498" s="1">
        <v>7660</v>
      </c>
      <c r="E1498" s="1">
        <v>42668</v>
      </c>
      <c r="F1498" s="2">
        <v>42865</v>
      </c>
    </row>
    <row r="1499" spans="1:6" x14ac:dyDescent="0.75">
      <c r="A1499">
        <v>2022</v>
      </c>
      <c r="B1499" t="s">
        <v>51</v>
      </c>
      <c r="C1499" t="s">
        <v>11</v>
      </c>
      <c r="D1499" s="1">
        <v>31422</v>
      </c>
      <c r="E1499" s="1">
        <v>220019</v>
      </c>
      <c r="F1499" s="2">
        <v>70893</v>
      </c>
    </row>
    <row r="1500" spans="1:6" x14ac:dyDescent="0.75">
      <c r="A1500">
        <v>2022</v>
      </c>
      <c r="B1500" t="s">
        <v>51</v>
      </c>
      <c r="C1500" t="s">
        <v>12</v>
      </c>
      <c r="D1500" s="1">
        <v>14839</v>
      </c>
      <c r="E1500" s="1">
        <v>138040</v>
      </c>
      <c r="F1500" s="2">
        <v>57099</v>
      </c>
    </row>
    <row r="1501" spans="1:6" x14ac:dyDescent="0.75">
      <c r="A1501">
        <v>2022</v>
      </c>
      <c r="B1501" t="s">
        <v>51</v>
      </c>
      <c r="C1501" t="s">
        <v>13</v>
      </c>
      <c r="D1501" s="1">
        <v>9417</v>
      </c>
      <c r="E1501" s="1">
        <v>76086</v>
      </c>
      <c r="F1501" s="2">
        <v>55415</v>
      </c>
    </row>
    <row r="1502" spans="1:6" x14ac:dyDescent="0.75">
      <c r="A1502">
        <v>2022</v>
      </c>
      <c r="B1502" t="s">
        <v>51</v>
      </c>
      <c r="C1502" t="s">
        <v>14</v>
      </c>
      <c r="D1502" s="1">
        <v>7584</v>
      </c>
      <c r="E1502" s="1">
        <v>60238</v>
      </c>
      <c r="F1502" s="2">
        <v>52807</v>
      </c>
    </row>
    <row r="1503" spans="1:6" x14ac:dyDescent="0.75">
      <c r="A1503">
        <v>2022</v>
      </c>
      <c r="B1503" t="s">
        <v>51</v>
      </c>
      <c r="C1503" t="s">
        <v>15</v>
      </c>
      <c r="D1503" s="1">
        <v>9339</v>
      </c>
      <c r="E1503" s="1">
        <v>77332</v>
      </c>
      <c r="F1503" s="2">
        <v>53194</v>
      </c>
    </row>
    <row r="1504" spans="1:6" x14ac:dyDescent="0.75">
      <c r="A1504">
        <v>2022</v>
      </c>
      <c r="B1504" t="s">
        <v>51</v>
      </c>
      <c r="C1504" t="s">
        <v>16</v>
      </c>
      <c r="D1504" s="1">
        <v>10825</v>
      </c>
      <c r="E1504" s="1">
        <v>147021</v>
      </c>
      <c r="F1504" s="2">
        <v>61781</v>
      </c>
    </row>
    <row r="1505" spans="1:6" x14ac:dyDescent="0.75">
      <c r="A1505">
        <v>2022</v>
      </c>
      <c r="B1505" t="s">
        <v>51</v>
      </c>
      <c r="C1505" t="s">
        <v>17</v>
      </c>
      <c r="D1505" s="1">
        <v>5502</v>
      </c>
      <c r="E1505" s="1">
        <v>28253</v>
      </c>
      <c r="F1505" s="2">
        <v>47930</v>
      </c>
    </row>
    <row r="1506" spans="1:6" x14ac:dyDescent="0.75">
      <c r="A1506">
        <v>2022</v>
      </c>
      <c r="B1506" t="s">
        <v>51</v>
      </c>
      <c r="C1506" t="s">
        <v>18</v>
      </c>
      <c r="D1506" s="1">
        <v>16463</v>
      </c>
      <c r="E1506" s="1">
        <v>162140</v>
      </c>
      <c r="F1506" s="2">
        <v>65027</v>
      </c>
    </row>
    <row r="1507" spans="1:6" x14ac:dyDescent="0.75">
      <c r="A1507">
        <v>2022</v>
      </c>
      <c r="B1507" t="s">
        <v>51</v>
      </c>
      <c r="C1507" t="s">
        <v>19</v>
      </c>
      <c r="D1507" s="1">
        <v>21055</v>
      </c>
      <c r="E1507" s="1">
        <v>152131</v>
      </c>
      <c r="F1507" s="2">
        <v>75405</v>
      </c>
    </row>
    <row r="1508" spans="1:6" x14ac:dyDescent="0.75">
      <c r="A1508">
        <v>2022</v>
      </c>
      <c r="B1508" t="s">
        <v>51</v>
      </c>
      <c r="C1508" t="s">
        <v>20</v>
      </c>
      <c r="D1508" s="1">
        <v>19544</v>
      </c>
      <c r="E1508" s="1">
        <v>161903</v>
      </c>
      <c r="F1508" s="2">
        <v>61511</v>
      </c>
    </row>
    <row r="1509" spans="1:6" x14ac:dyDescent="0.75">
      <c r="A1509">
        <v>2022</v>
      </c>
      <c r="B1509" t="s">
        <v>51</v>
      </c>
      <c r="C1509" t="s">
        <v>21</v>
      </c>
      <c r="D1509" s="1">
        <v>15746</v>
      </c>
      <c r="E1509" s="1">
        <v>119642</v>
      </c>
      <c r="F1509" s="2">
        <v>65464</v>
      </c>
    </row>
    <row r="1510" spans="1:6" x14ac:dyDescent="0.75">
      <c r="A1510">
        <v>2022</v>
      </c>
      <c r="B1510" t="s">
        <v>51</v>
      </c>
      <c r="C1510" t="s">
        <v>22</v>
      </c>
      <c r="D1510" s="1">
        <v>5670</v>
      </c>
      <c r="E1510" s="1">
        <v>43467</v>
      </c>
      <c r="F1510" s="2">
        <v>48782</v>
      </c>
    </row>
    <row r="1511" spans="1:6" x14ac:dyDescent="0.75">
      <c r="A1511">
        <v>2022</v>
      </c>
      <c r="B1511" t="s">
        <v>51</v>
      </c>
      <c r="C1511" t="s">
        <v>23</v>
      </c>
      <c r="D1511" s="1">
        <v>15141</v>
      </c>
      <c r="E1511" s="1">
        <v>123034</v>
      </c>
      <c r="F1511" s="2">
        <v>57823</v>
      </c>
    </row>
    <row r="1512" spans="1:6" x14ac:dyDescent="0.75">
      <c r="A1512">
        <v>2022</v>
      </c>
      <c r="B1512" t="s">
        <v>51</v>
      </c>
      <c r="C1512" t="s">
        <v>24</v>
      </c>
      <c r="D1512" s="1">
        <v>6287</v>
      </c>
      <c r="E1512" s="1">
        <v>27712</v>
      </c>
      <c r="F1512" s="2">
        <v>50369</v>
      </c>
    </row>
    <row r="1513" spans="1:6" x14ac:dyDescent="0.75">
      <c r="A1513">
        <v>2022</v>
      </c>
      <c r="B1513" t="s">
        <v>51</v>
      </c>
      <c r="C1513" t="s">
        <v>25</v>
      </c>
      <c r="D1513" s="1">
        <v>7053</v>
      </c>
      <c r="E1513" s="1">
        <v>51174</v>
      </c>
      <c r="F1513" s="2">
        <v>49634</v>
      </c>
    </row>
    <row r="1514" spans="1:6" x14ac:dyDescent="0.75">
      <c r="A1514">
        <v>2022</v>
      </c>
      <c r="B1514" t="s">
        <v>51</v>
      </c>
      <c r="C1514" t="s">
        <v>26</v>
      </c>
      <c r="D1514" s="1">
        <v>5859</v>
      </c>
      <c r="E1514" s="1">
        <v>82998</v>
      </c>
      <c r="F1514" s="2">
        <v>58071</v>
      </c>
    </row>
    <row r="1515" spans="1:6" x14ac:dyDescent="0.75">
      <c r="A1515">
        <v>2022</v>
      </c>
      <c r="B1515" t="s">
        <v>51</v>
      </c>
      <c r="C1515" t="s">
        <v>27</v>
      </c>
      <c r="D1515" s="1">
        <v>4363</v>
      </c>
      <c r="E1515" s="1">
        <v>26466</v>
      </c>
      <c r="F1515" s="2">
        <v>61497</v>
      </c>
    </row>
    <row r="1516" spans="1:6" x14ac:dyDescent="0.75">
      <c r="A1516">
        <v>2022</v>
      </c>
      <c r="B1516" t="s">
        <v>51</v>
      </c>
      <c r="C1516" t="s">
        <v>28</v>
      </c>
      <c r="D1516" s="1">
        <v>21672</v>
      </c>
      <c r="E1516" s="1">
        <v>154907</v>
      </c>
      <c r="F1516" s="2">
        <v>71145</v>
      </c>
    </row>
    <row r="1517" spans="1:6" x14ac:dyDescent="0.75">
      <c r="A1517">
        <v>2022</v>
      </c>
      <c r="B1517" t="s">
        <v>51</v>
      </c>
      <c r="C1517" t="s">
        <v>29</v>
      </c>
      <c r="D1517" s="1">
        <v>5141</v>
      </c>
      <c r="E1517" s="1">
        <v>45511</v>
      </c>
      <c r="F1517" s="2">
        <v>46369</v>
      </c>
    </row>
    <row r="1518" spans="1:6" x14ac:dyDescent="0.75">
      <c r="A1518">
        <v>2022</v>
      </c>
      <c r="B1518" t="s">
        <v>51</v>
      </c>
      <c r="C1518" t="s">
        <v>30</v>
      </c>
      <c r="D1518" s="1">
        <v>50064</v>
      </c>
      <c r="E1518" s="1">
        <v>386615</v>
      </c>
      <c r="F1518" s="2">
        <v>71408</v>
      </c>
    </row>
    <row r="1519" spans="1:6" x14ac:dyDescent="0.75">
      <c r="A1519">
        <v>2022</v>
      </c>
      <c r="B1519" t="s">
        <v>51</v>
      </c>
      <c r="C1519" t="s">
        <v>31</v>
      </c>
      <c r="D1519" s="1">
        <v>26057</v>
      </c>
      <c r="E1519" s="1">
        <v>208662</v>
      </c>
      <c r="F1519" s="2">
        <v>52372</v>
      </c>
    </row>
    <row r="1520" spans="1:6" x14ac:dyDescent="0.75">
      <c r="A1520">
        <v>2022</v>
      </c>
      <c r="B1520" t="s">
        <v>51</v>
      </c>
      <c r="C1520" t="s">
        <v>32</v>
      </c>
      <c r="D1520" s="1">
        <v>4035</v>
      </c>
      <c r="E1520" s="1">
        <v>26732</v>
      </c>
      <c r="F1520" s="2">
        <v>63029</v>
      </c>
    </row>
    <row r="1521" spans="1:6" x14ac:dyDescent="0.75">
      <c r="A1521">
        <v>2022</v>
      </c>
      <c r="B1521" t="s">
        <v>51</v>
      </c>
      <c r="C1521" t="s">
        <v>33</v>
      </c>
      <c r="D1521" s="1">
        <v>23022</v>
      </c>
      <c r="E1521" s="1">
        <v>217025</v>
      </c>
      <c r="F1521" s="2">
        <v>60831</v>
      </c>
    </row>
    <row r="1522" spans="1:6" x14ac:dyDescent="0.75">
      <c r="A1522">
        <v>2022</v>
      </c>
      <c r="B1522" t="s">
        <v>51</v>
      </c>
      <c r="C1522" t="s">
        <v>34</v>
      </c>
      <c r="D1522" s="1">
        <v>9823</v>
      </c>
      <c r="E1522" s="1">
        <v>77247</v>
      </c>
      <c r="F1522" s="2">
        <v>50585</v>
      </c>
    </row>
    <row r="1523" spans="1:6" x14ac:dyDescent="0.75">
      <c r="A1523">
        <v>2022</v>
      </c>
      <c r="B1523" t="s">
        <v>51</v>
      </c>
      <c r="C1523" t="s">
        <v>35</v>
      </c>
      <c r="D1523" s="1">
        <v>13468</v>
      </c>
      <c r="E1523" s="1">
        <v>96991</v>
      </c>
      <c r="F1523" s="2">
        <v>57987</v>
      </c>
    </row>
    <row r="1524" spans="1:6" x14ac:dyDescent="0.75">
      <c r="A1524">
        <v>2022</v>
      </c>
      <c r="B1524" t="s">
        <v>51</v>
      </c>
      <c r="C1524" t="s">
        <v>36</v>
      </c>
      <c r="D1524" s="1">
        <v>28397</v>
      </c>
      <c r="E1524" s="1">
        <v>248932</v>
      </c>
      <c r="F1524" s="2">
        <v>64769</v>
      </c>
    </row>
    <row r="1525" spans="1:6" x14ac:dyDescent="0.75">
      <c r="A1525">
        <v>2022</v>
      </c>
      <c r="B1525" t="s">
        <v>51</v>
      </c>
      <c r="C1525" t="s">
        <v>38</v>
      </c>
      <c r="D1525" s="1">
        <v>11635</v>
      </c>
      <c r="E1525" s="1">
        <v>100817</v>
      </c>
      <c r="F1525" s="2">
        <v>53542</v>
      </c>
    </row>
    <row r="1526" spans="1:6" x14ac:dyDescent="0.75">
      <c r="A1526">
        <v>2022</v>
      </c>
      <c r="B1526" t="s">
        <v>51</v>
      </c>
      <c r="C1526" t="s">
        <v>39</v>
      </c>
      <c r="D1526" s="1">
        <v>3883</v>
      </c>
      <c r="E1526" s="1">
        <v>22351</v>
      </c>
      <c r="F1526" s="2">
        <v>47385</v>
      </c>
    </row>
    <row r="1527" spans="1:6" x14ac:dyDescent="0.75">
      <c r="A1527">
        <v>2022</v>
      </c>
      <c r="B1527" t="s">
        <v>51</v>
      </c>
      <c r="C1527" t="s">
        <v>40</v>
      </c>
      <c r="D1527" s="1">
        <v>11745</v>
      </c>
      <c r="E1527" s="1">
        <v>119968</v>
      </c>
      <c r="F1527" s="2">
        <v>56642</v>
      </c>
    </row>
    <row r="1528" spans="1:6" x14ac:dyDescent="0.75">
      <c r="A1528">
        <v>2022</v>
      </c>
      <c r="B1528" t="s">
        <v>51</v>
      </c>
      <c r="C1528" t="s">
        <v>41</v>
      </c>
      <c r="D1528" s="1">
        <v>49310</v>
      </c>
      <c r="E1528" s="1">
        <v>711119</v>
      </c>
      <c r="F1528" s="2">
        <v>63219</v>
      </c>
    </row>
    <row r="1529" spans="1:6" x14ac:dyDescent="0.75">
      <c r="A1529">
        <v>2022</v>
      </c>
      <c r="B1529" t="s">
        <v>51</v>
      </c>
      <c r="C1529" t="s">
        <v>42</v>
      </c>
      <c r="D1529" s="1">
        <v>10886</v>
      </c>
      <c r="E1529" s="1">
        <v>97495</v>
      </c>
      <c r="F1529" s="2">
        <v>49132</v>
      </c>
    </row>
    <row r="1530" spans="1:6" x14ac:dyDescent="0.75">
      <c r="A1530">
        <v>2022</v>
      </c>
      <c r="B1530" t="s">
        <v>51</v>
      </c>
      <c r="C1530" t="s">
        <v>43</v>
      </c>
      <c r="D1530" s="1">
        <v>2865</v>
      </c>
      <c r="E1530" s="1">
        <v>15187</v>
      </c>
      <c r="F1530" s="2">
        <v>50125</v>
      </c>
    </row>
    <row r="1531" spans="1:6" x14ac:dyDescent="0.75">
      <c r="A1531">
        <v>2022</v>
      </c>
      <c r="B1531" t="s">
        <v>51</v>
      </c>
      <c r="C1531" t="s">
        <v>44</v>
      </c>
      <c r="D1531" s="1">
        <v>21256</v>
      </c>
      <c r="E1531" s="1">
        <v>192576</v>
      </c>
      <c r="F1531" s="2">
        <v>56166</v>
      </c>
    </row>
    <row r="1532" spans="1:6" x14ac:dyDescent="0.75">
      <c r="A1532">
        <v>2022</v>
      </c>
      <c r="B1532" t="s">
        <v>51</v>
      </c>
      <c r="C1532" t="s">
        <v>45</v>
      </c>
      <c r="D1532" s="1">
        <v>25279</v>
      </c>
      <c r="E1532" s="1">
        <v>187247</v>
      </c>
      <c r="F1532" s="2">
        <v>61249</v>
      </c>
    </row>
    <row r="1533" spans="1:6" x14ac:dyDescent="0.75">
      <c r="A1533">
        <v>2022</v>
      </c>
      <c r="B1533" t="s">
        <v>51</v>
      </c>
      <c r="C1533" t="s">
        <v>46</v>
      </c>
      <c r="D1533" s="1">
        <v>4402</v>
      </c>
      <c r="E1533" s="1">
        <v>31522</v>
      </c>
      <c r="F1533" s="2">
        <v>57987</v>
      </c>
    </row>
    <row r="1534" spans="1:6" x14ac:dyDescent="0.75">
      <c r="A1534">
        <v>2022</v>
      </c>
      <c r="B1534" t="s">
        <v>51</v>
      </c>
      <c r="C1534" t="s">
        <v>47</v>
      </c>
      <c r="D1534" s="1">
        <v>14158</v>
      </c>
      <c r="E1534" s="1">
        <v>117226</v>
      </c>
      <c r="F1534" s="2">
        <v>60136</v>
      </c>
    </row>
    <row r="1535" spans="1:6" x14ac:dyDescent="0.75">
      <c r="A1535">
        <v>2022</v>
      </c>
      <c r="B1535" t="s">
        <v>51</v>
      </c>
      <c r="C1535" t="s">
        <v>48</v>
      </c>
      <c r="D1535" s="1">
        <v>3427</v>
      </c>
      <c r="E1535" s="1">
        <v>19573</v>
      </c>
      <c r="F1535" s="2">
        <v>50877</v>
      </c>
    </row>
    <row r="1536" spans="1:6" x14ac:dyDescent="0.75">
      <c r="A1536">
        <v>2022</v>
      </c>
      <c r="B1536" t="s">
        <v>52</v>
      </c>
      <c r="C1536" t="s">
        <v>1</v>
      </c>
      <c r="D1536" s="1">
        <v>5447</v>
      </c>
      <c r="E1536" s="1">
        <v>263487</v>
      </c>
      <c r="F1536" s="2">
        <v>55197</v>
      </c>
    </row>
    <row r="1537" spans="1:6" x14ac:dyDescent="0.75">
      <c r="A1537">
        <v>2022</v>
      </c>
      <c r="B1537" t="s">
        <v>52</v>
      </c>
      <c r="C1537" t="s">
        <v>2</v>
      </c>
      <c r="D1537" s="1">
        <v>4657</v>
      </c>
      <c r="E1537" s="1">
        <v>162399</v>
      </c>
      <c r="F1537" s="2">
        <v>73528</v>
      </c>
    </row>
    <row r="1538" spans="1:6" x14ac:dyDescent="0.75">
      <c r="A1538">
        <v>2022</v>
      </c>
      <c r="B1538" t="s">
        <v>52</v>
      </c>
      <c r="C1538" t="s">
        <v>3</v>
      </c>
      <c r="D1538" s="1">
        <v>2928</v>
      </c>
      <c r="E1538" s="1">
        <v>157305</v>
      </c>
      <c r="F1538" s="2">
        <v>46766</v>
      </c>
    </row>
    <row r="1539" spans="1:6" x14ac:dyDescent="0.75">
      <c r="A1539">
        <v>2022</v>
      </c>
      <c r="B1539" t="s">
        <v>52</v>
      </c>
      <c r="C1539" t="s">
        <v>4</v>
      </c>
      <c r="D1539" s="1">
        <v>42215</v>
      </c>
      <c r="E1539" s="1">
        <v>1303550</v>
      </c>
      <c r="F1539" s="2">
        <v>92246</v>
      </c>
    </row>
    <row r="1540" spans="1:6" x14ac:dyDescent="0.75">
      <c r="A1540">
        <v>2022</v>
      </c>
      <c r="B1540" t="s">
        <v>52</v>
      </c>
      <c r="C1540" t="s">
        <v>5</v>
      </c>
      <c r="D1540" s="1">
        <v>5750</v>
      </c>
      <c r="E1540" s="1">
        <v>144067</v>
      </c>
      <c r="F1540" s="2">
        <v>69446</v>
      </c>
    </row>
    <row r="1541" spans="1:6" x14ac:dyDescent="0.75">
      <c r="A1541">
        <v>2022</v>
      </c>
      <c r="B1541" t="s">
        <v>52</v>
      </c>
      <c r="C1541" t="s">
        <v>6</v>
      </c>
      <c r="D1541" s="1">
        <v>4460</v>
      </c>
      <c r="E1541" s="1">
        <v>158891</v>
      </c>
      <c r="F1541" s="2">
        <v>81864</v>
      </c>
    </row>
    <row r="1542" spans="1:6" x14ac:dyDescent="0.75">
      <c r="A1542">
        <v>2022</v>
      </c>
      <c r="B1542" t="s">
        <v>52</v>
      </c>
      <c r="C1542" t="s">
        <v>7</v>
      </c>
      <c r="D1542">
        <v>688</v>
      </c>
      <c r="E1542" s="1">
        <v>25928</v>
      </c>
      <c r="F1542" s="2">
        <v>62417</v>
      </c>
    </row>
    <row r="1543" spans="1:6" x14ac:dyDescent="0.75">
      <c r="A1543">
        <v>2022</v>
      </c>
      <c r="B1543" t="s">
        <v>52</v>
      </c>
      <c r="C1543" t="s">
        <v>8</v>
      </c>
      <c r="D1543" s="1">
        <v>20513</v>
      </c>
      <c r="E1543" s="1">
        <v>363137</v>
      </c>
      <c r="F1543" s="2">
        <v>59389</v>
      </c>
    </row>
    <row r="1544" spans="1:6" x14ac:dyDescent="0.75">
      <c r="A1544">
        <v>2022</v>
      </c>
      <c r="B1544" t="s">
        <v>52</v>
      </c>
      <c r="C1544" t="s">
        <v>9</v>
      </c>
      <c r="D1544" s="1">
        <v>9745</v>
      </c>
      <c r="E1544" s="1">
        <v>395916</v>
      </c>
      <c r="F1544" s="2">
        <v>57889</v>
      </c>
    </row>
    <row r="1545" spans="1:6" x14ac:dyDescent="0.75">
      <c r="A1545">
        <v>2022</v>
      </c>
      <c r="B1545" t="s">
        <v>52</v>
      </c>
      <c r="C1545" t="s">
        <v>10</v>
      </c>
      <c r="D1545" s="1">
        <v>2750</v>
      </c>
      <c r="E1545" s="1">
        <v>66056</v>
      </c>
      <c r="F1545" s="2">
        <v>61543</v>
      </c>
    </row>
    <row r="1546" spans="1:6" x14ac:dyDescent="0.75">
      <c r="A1546">
        <v>2022</v>
      </c>
      <c r="B1546" t="s">
        <v>52</v>
      </c>
      <c r="C1546" t="s">
        <v>11</v>
      </c>
      <c r="D1546" s="1">
        <v>17979</v>
      </c>
      <c r="E1546" s="1">
        <v>574692</v>
      </c>
      <c r="F1546" s="2">
        <v>70174</v>
      </c>
    </row>
    <row r="1547" spans="1:6" x14ac:dyDescent="0.75">
      <c r="A1547">
        <v>2022</v>
      </c>
      <c r="B1547" t="s">
        <v>52</v>
      </c>
      <c r="C1547" t="s">
        <v>12</v>
      </c>
      <c r="D1547" s="1">
        <v>8554</v>
      </c>
      <c r="E1547" s="1">
        <v>531312</v>
      </c>
      <c r="F1547" s="2">
        <v>61118</v>
      </c>
    </row>
    <row r="1548" spans="1:6" x14ac:dyDescent="0.75">
      <c r="A1548">
        <v>2022</v>
      </c>
      <c r="B1548" t="s">
        <v>52</v>
      </c>
      <c r="C1548" t="s">
        <v>13</v>
      </c>
      <c r="D1548" s="1">
        <v>4125</v>
      </c>
      <c r="E1548" s="1">
        <v>215910</v>
      </c>
      <c r="F1548" s="2">
        <v>58617</v>
      </c>
    </row>
    <row r="1549" spans="1:6" x14ac:dyDescent="0.75">
      <c r="A1549">
        <v>2022</v>
      </c>
      <c r="B1549" t="s">
        <v>52</v>
      </c>
      <c r="C1549" t="s">
        <v>14</v>
      </c>
      <c r="D1549" s="1">
        <v>3164</v>
      </c>
      <c r="E1549" s="1">
        <v>161517</v>
      </c>
      <c r="F1549" s="2">
        <v>57532</v>
      </c>
    </row>
    <row r="1550" spans="1:6" x14ac:dyDescent="0.75">
      <c r="A1550">
        <v>2022</v>
      </c>
      <c r="B1550" t="s">
        <v>52</v>
      </c>
      <c r="C1550" t="s">
        <v>15</v>
      </c>
      <c r="D1550" s="1">
        <v>4368</v>
      </c>
      <c r="E1550" s="1">
        <v>250180</v>
      </c>
      <c r="F1550" s="2">
        <v>58143</v>
      </c>
    </row>
    <row r="1551" spans="1:6" x14ac:dyDescent="0.75">
      <c r="A1551">
        <v>2022</v>
      </c>
      <c r="B1551" t="s">
        <v>52</v>
      </c>
      <c r="C1551" t="s">
        <v>16</v>
      </c>
      <c r="D1551" s="1">
        <v>4464</v>
      </c>
      <c r="E1551" s="1">
        <v>134680</v>
      </c>
      <c r="F1551" s="2">
        <v>72604</v>
      </c>
    </row>
    <row r="1552" spans="1:6" x14ac:dyDescent="0.75">
      <c r="A1552">
        <v>2022</v>
      </c>
      <c r="B1552" t="s">
        <v>52</v>
      </c>
      <c r="C1552" t="s">
        <v>17</v>
      </c>
      <c r="D1552" s="1">
        <v>1877</v>
      </c>
      <c r="E1552" s="1">
        <v>50911</v>
      </c>
      <c r="F1552" s="2">
        <v>55458</v>
      </c>
    </row>
    <row r="1553" spans="1:6" x14ac:dyDescent="0.75">
      <c r="A1553">
        <v>2022</v>
      </c>
      <c r="B1553" t="s">
        <v>52</v>
      </c>
      <c r="C1553" t="s">
        <v>18</v>
      </c>
      <c r="D1553" s="1">
        <v>3901</v>
      </c>
      <c r="E1553" s="1">
        <v>106864</v>
      </c>
      <c r="F1553" s="2">
        <v>77289</v>
      </c>
    </row>
    <row r="1554" spans="1:6" x14ac:dyDescent="0.75">
      <c r="A1554">
        <v>2022</v>
      </c>
      <c r="B1554" t="s">
        <v>52</v>
      </c>
      <c r="C1554" t="s">
        <v>19</v>
      </c>
      <c r="D1554" s="1">
        <v>6850</v>
      </c>
      <c r="E1554" s="1">
        <v>244647</v>
      </c>
      <c r="F1554" s="2">
        <v>88132</v>
      </c>
    </row>
    <row r="1555" spans="1:6" x14ac:dyDescent="0.75">
      <c r="A1555">
        <v>2022</v>
      </c>
      <c r="B1555" t="s">
        <v>52</v>
      </c>
      <c r="C1555" t="s">
        <v>20</v>
      </c>
      <c r="D1555" s="1">
        <v>15721</v>
      </c>
      <c r="E1555" s="1">
        <v>615106</v>
      </c>
      <c r="F1555" s="2">
        <v>66395</v>
      </c>
    </row>
    <row r="1556" spans="1:6" x14ac:dyDescent="0.75">
      <c r="A1556">
        <v>2022</v>
      </c>
      <c r="B1556" t="s">
        <v>52</v>
      </c>
      <c r="C1556" t="s">
        <v>21</v>
      </c>
      <c r="D1556" s="1">
        <v>8369</v>
      </c>
      <c r="E1556" s="1">
        <v>319035</v>
      </c>
      <c r="F1556" s="2">
        <v>65734</v>
      </c>
    </row>
    <row r="1557" spans="1:6" x14ac:dyDescent="0.75">
      <c r="A1557">
        <v>2022</v>
      </c>
      <c r="B1557" t="s">
        <v>52</v>
      </c>
      <c r="C1557" t="s">
        <v>22</v>
      </c>
      <c r="D1557" s="1">
        <v>2441</v>
      </c>
      <c r="E1557" s="1">
        <v>144047</v>
      </c>
      <c r="F1557" s="2">
        <v>48199</v>
      </c>
    </row>
    <row r="1558" spans="1:6" x14ac:dyDescent="0.75">
      <c r="A1558">
        <v>2022</v>
      </c>
      <c r="B1558" t="s">
        <v>52</v>
      </c>
      <c r="C1558" t="s">
        <v>23</v>
      </c>
      <c r="D1558" s="1">
        <v>6636</v>
      </c>
      <c r="E1558" s="1">
        <v>265863</v>
      </c>
      <c r="F1558" s="2">
        <v>57139</v>
      </c>
    </row>
    <row r="1559" spans="1:6" x14ac:dyDescent="0.75">
      <c r="A1559">
        <v>2022</v>
      </c>
      <c r="B1559" t="s">
        <v>52</v>
      </c>
      <c r="C1559" t="s">
        <v>24</v>
      </c>
      <c r="D1559" s="1">
        <v>1572</v>
      </c>
      <c r="E1559" s="1">
        <v>19893</v>
      </c>
      <c r="F1559" s="2">
        <v>48758</v>
      </c>
    </row>
    <row r="1560" spans="1:6" x14ac:dyDescent="0.75">
      <c r="A1560">
        <v>2022</v>
      </c>
      <c r="B1560" t="s">
        <v>52</v>
      </c>
      <c r="C1560" t="s">
        <v>25</v>
      </c>
      <c r="D1560" s="1">
        <v>1977</v>
      </c>
      <c r="E1560" s="1">
        <v>98082</v>
      </c>
      <c r="F1560" s="2">
        <v>49568</v>
      </c>
    </row>
    <row r="1561" spans="1:6" x14ac:dyDescent="0.75">
      <c r="A1561">
        <v>2022</v>
      </c>
      <c r="B1561" t="s">
        <v>52</v>
      </c>
      <c r="C1561" t="s">
        <v>26</v>
      </c>
      <c r="D1561" s="1">
        <v>2043</v>
      </c>
      <c r="E1561" s="1">
        <v>47800</v>
      </c>
      <c r="F1561" s="2">
        <v>56486</v>
      </c>
    </row>
    <row r="1562" spans="1:6" x14ac:dyDescent="0.75">
      <c r="A1562">
        <v>2022</v>
      </c>
      <c r="B1562" t="s">
        <v>52</v>
      </c>
      <c r="C1562" t="s">
        <v>27</v>
      </c>
      <c r="D1562" s="1">
        <v>2011</v>
      </c>
      <c r="E1562" s="1">
        <v>68971</v>
      </c>
      <c r="F1562" s="2">
        <v>70482</v>
      </c>
    </row>
    <row r="1563" spans="1:6" x14ac:dyDescent="0.75">
      <c r="A1563">
        <v>2022</v>
      </c>
      <c r="B1563" t="s">
        <v>52</v>
      </c>
      <c r="C1563" t="s">
        <v>28</v>
      </c>
      <c r="D1563" s="1">
        <v>8962</v>
      </c>
      <c r="E1563" s="1">
        <v>242476</v>
      </c>
      <c r="F1563" s="2">
        <v>78813</v>
      </c>
    </row>
    <row r="1564" spans="1:6" x14ac:dyDescent="0.75">
      <c r="A1564">
        <v>2022</v>
      </c>
      <c r="B1564" t="s">
        <v>52</v>
      </c>
      <c r="C1564" t="s">
        <v>29</v>
      </c>
      <c r="D1564" s="1">
        <v>1724</v>
      </c>
      <c r="E1564" s="1">
        <v>26398</v>
      </c>
      <c r="F1564" s="2">
        <v>53328</v>
      </c>
    </row>
    <row r="1565" spans="1:6" x14ac:dyDescent="0.75">
      <c r="A1565">
        <v>2022</v>
      </c>
      <c r="B1565" t="s">
        <v>52</v>
      </c>
      <c r="C1565" t="s">
        <v>30</v>
      </c>
      <c r="D1565" s="1">
        <v>17319</v>
      </c>
      <c r="E1565" s="1">
        <v>444182</v>
      </c>
      <c r="F1565" s="2">
        <v>65899</v>
      </c>
    </row>
    <row r="1566" spans="1:6" x14ac:dyDescent="0.75">
      <c r="A1566">
        <v>2022</v>
      </c>
      <c r="B1566" t="s">
        <v>52</v>
      </c>
      <c r="C1566" t="s">
        <v>31</v>
      </c>
      <c r="D1566" s="1">
        <v>10287</v>
      </c>
      <c r="E1566" s="1">
        <v>467306</v>
      </c>
      <c r="F1566" s="2">
        <v>58368</v>
      </c>
    </row>
    <row r="1567" spans="1:6" x14ac:dyDescent="0.75">
      <c r="A1567">
        <v>2022</v>
      </c>
      <c r="B1567" t="s">
        <v>52</v>
      </c>
      <c r="C1567" t="s">
        <v>32</v>
      </c>
      <c r="D1567">
        <v>810</v>
      </c>
      <c r="E1567" s="1">
        <v>24680</v>
      </c>
      <c r="F1567" s="2">
        <v>52594</v>
      </c>
    </row>
    <row r="1568" spans="1:6" x14ac:dyDescent="0.75">
      <c r="A1568">
        <v>2022</v>
      </c>
      <c r="B1568" t="s">
        <v>52</v>
      </c>
      <c r="C1568" t="s">
        <v>33</v>
      </c>
      <c r="D1568" s="1">
        <v>15430</v>
      </c>
      <c r="E1568" s="1">
        <v>685942</v>
      </c>
      <c r="F1568" s="2">
        <v>60002</v>
      </c>
    </row>
    <row r="1569" spans="1:6" x14ac:dyDescent="0.75">
      <c r="A1569">
        <v>2022</v>
      </c>
      <c r="B1569" t="s">
        <v>52</v>
      </c>
      <c r="C1569" t="s">
        <v>34</v>
      </c>
      <c r="D1569" s="1">
        <v>4230</v>
      </c>
      <c r="E1569" s="1">
        <v>128122</v>
      </c>
      <c r="F1569" s="2">
        <v>55496</v>
      </c>
    </row>
    <row r="1570" spans="1:6" x14ac:dyDescent="0.75">
      <c r="A1570">
        <v>2022</v>
      </c>
      <c r="B1570" t="s">
        <v>52</v>
      </c>
      <c r="C1570" t="s">
        <v>35</v>
      </c>
      <c r="D1570" s="1">
        <v>6175</v>
      </c>
      <c r="E1570" s="1">
        <v>189318</v>
      </c>
      <c r="F1570" s="2">
        <v>68161</v>
      </c>
    </row>
    <row r="1571" spans="1:6" x14ac:dyDescent="0.75">
      <c r="A1571">
        <v>2022</v>
      </c>
      <c r="B1571" t="s">
        <v>52</v>
      </c>
      <c r="C1571" t="s">
        <v>36</v>
      </c>
      <c r="D1571" s="1">
        <v>14414</v>
      </c>
      <c r="E1571" s="1">
        <v>561774</v>
      </c>
      <c r="F1571" s="2">
        <v>61111</v>
      </c>
    </row>
    <row r="1572" spans="1:6" x14ac:dyDescent="0.75">
      <c r="A1572">
        <v>2022</v>
      </c>
      <c r="B1572" t="s">
        <v>52</v>
      </c>
      <c r="C1572" t="s">
        <v>37</v>
      </c>
      <c r="D1572" s="1">
        <v>1567</v>
      </c>
      <c r="E1572" s="1">
        <v>40341</v>
      </c>
      <c r="F1572" s="2">
        <v>57616</v>
      </c>
    </row>
    <row r="1573" spans="1:6" x14ac:dyDescent="0.75">
      <c r="A1573">
        <v>2022</v>
      </c>
      <c r="B1573" t="s">
        <v>52</v>
      </c>
      <c r="C1573" t="s">
        <v>38</v>
      </c>
      <c r="D1573" s="1">
        <v>5906</v>
      </c>
      <c r="E1573" s="1">
        <v>240456</v>
      </c>
      <c r="F1573" s="2">
        <v>58927</v>
      </c>
    </row>
    <row r="1574" spans="1:6" x14ac:dyDescent="0.75">
      <c r="A1574">
        <v>2022</v>
      </c>
      <c r="B1574" t="s">
        <v>52</v>
      </c>
      <c r="C1574" t="s">
        <v>39</v>
      </c>
      <c r="D1574" s="1">
        <v>1091</v>
      </c>
      <c r="E1574" s="1">
        <v>43081</v>
      </c>
      <c r="F1574" s="2">
        <v>47877</v>
      </c>
    </row>
    <row r="1575" spans="1:6" x14ac:dyDescent="0.75">
      <c r="A1575">
        <v>2022</v>
      </c>
      <c r="B1575" t="s">
        <v>52</v>
      </c>
      <c r="C1575" t="s">
        <v>40</v>
      </c>
      <c r="D1575" s="1">
        <v>6835</v>
      </c>
      <c r="E1575" s="1">
        <v>348417</v>
      </c>
      <c r="F1575" s="2">
        <v>59526</v>
      </c>
    </row>
    <row r="1576" spans="1:6" x14ac:dyDescent="0.75">
      <c r="A1576">
        <v>2022</v>
      </c>
      <c r="B1576" t="s">
        <v>52</v>
      </c>
      <c r="C1576" t="s">
        <v>41</v>
      </c>
      <c r="D1576" s="1">
        <v>24275</v>
      </c>
      <c r="E1576" s="1">
        <v>851513</v>
      </c>
      <c r="F1576" s="2">
        <v>75813</v>
      </c>
    </row>
    <row r="1577" spans="1:6" x14ac:dyDescent="0.75">
      <c r="A1577">
        <v>2022</v>
      </c>
      <c r="B1577" t="s">
        <v>52</v>
      </c>
      <c r="C1577" t="s">
        <v>42</v>
      </c>
      <c r="D1577" s="1">
        <v>4248</v>
      </c>
      <c r="E1577" s="1">
        <v>128365</v>
      </c>
      <c r="F1577" s="2">
        <v>56723</v>
      </c>
    </row>
    <row r="1578" spans="1:6" x14ac:dyDescent="0.75">
      <c r="A1578">
        <v>2022</v>
      </c>
      <c r="B1578" t="s">
        <v>52</v>
      </c>
      <c r="C1578" t="s">
        <v>43</v>
      </c>
      <c r="D1578" s="1">
        <v>1105</v>
      </c>
      <c r="E1578" s="1">
        <v>29550</v>
      </c>
      <c r="F1578" s="2">
        <v>58004</v>
      </c>
    </row>
    <row r="1579" spans="1:6" x14ac:dyDescent="0.75">
      <c r="A1579">
        <v>2022</v>
      </c>
      <c r="B1579" t="s">
        <v>52</v>
      </c>
      <c r="C1579" t="s">
        <v>44</v>
      </c>
      <c r="D1579" s="1">
        <v>6475</v>
      </c>
      <c r="E1579" s="1">
        <v>232927</v>
      </c>
      <c r="F1579" s="2">
        <v>57894</v>
      </c>
    </row>
    <row r="1580" spans="1:6" x14ac:dyDescent="0.75">
      <c r="A1580">
        <v>2022</v>
      </c>
      <c r="B1580" t="s">
        <v>52</v>
      </c>
      <c r="C1580" t="s">
        <v>45</v>
      </c>
      <c r="D1580" s="1">
        <v>7671</v>
      </c>
      <c r="E1580" s="1">
        <v>280368</v>
      </c>
      <c r="F1580" s="2">
        <v>76290</v>
      </c>
    </row>
    <row r="1581" spans="1:6" x14ac:dyDescent="0.75">
      <c r="A1581">
        <v>2022</v>
      </c>
      <c r="B1581" t="s">
        <v>52</v>
      </c>
      <c r="C1581" t="s">
        <v>46</v>
      </c>
      <c r="D1581" s="1">
        <v>1272</v>
      </c>
      <c r="E1581" s="1">
        <v>46575</v>
      </c>
      <c r="F1581" s="2">
        <v>58624</v>
      </c>
    </row>
    <row r="1582" spans="1:6" x14ac:dyDescent="0.75">
      <c r="A1582">
        <v>2022</v>
      </c>
      <c r="B1582" t="s">
        <v>52</v>
      </c>
      <c r="C1582" t="s">
        <v>47</v>
      </c>
      <c r="D1582" s="1">
        <v>9356</v>
      </c>
      <c r="E1582" s="1">
        <v>466595</v>
      </c>
      <c r="F1582" s="2">
        <v>57001</v>
      </c>
    </row>
    <row r="1583" spans="1:6" x14ac:dyDescent="0.75">
      <c r="A1583">
        <v>2022</v>
      </c>
      <c r="B1583" t="s">
        <v>52</v>
      </c>
      <c r="C1583" t="s">
        <v>48</v>
      </c>
      <c r="D1583">
        <v>598</v>
      </c>
      <c r="E1583" s="1">
        <v>9378</v>
      </c>
      <c r="F1583" s="2">
        <v>65834</v>
      </c>
    </row>
    <row r="1584" spans="1:6" x14ac:dyDescent="0.75">
      <c r="A1584">
        <v>2022</v>
      </c>
      <c r="B1584" t="s">
        <v>54</v>
      </c>
      <c r="C1584" t="s">
        <v>1</v>
      </c>
      <c r="D1584" s="1">
        <v>32410</v>
      </c>
      <c r="E1584" s="1">
        <v>375653</v>
      </c>
      <c r="F1584" s="2">
        <v>40518</v>
      </c>
    </row>
    <row r="1585" spans="1:6" x14ac:dyDescent="0.75">
      <c r="A1585">
        <v>2022</v>
      </c>
      <c r="B1585" t="s">
        <v>54</v>
      </c>
      <c r="C1585" t="s">
        <v>2</v>
      </c>
      <c r="D1585" s="1">
        <v>29489</v>
      </c>
      <c r="E1585" s="1">
        <v>518475</v>
      </c>
      <c r="F1585" s="2">
        <v>45126</v>
      </c>
    </row>
    <row r="1586" spans="1:6" x14ac:dyDescent="0.75">
      <c r="A1586">
        <v>2022</v>
      </c>
      <c r="B1586" t="s">
        <v>54</v>
      </c>
      <c r="C1586" t="s">
        <v>3</v>
      </c>
      <c r="D1586" s="1">
        <v>21486</v>
      </c>
      <c r="E1586" s="1">
        <v>247661</v>
      </c>
      <c r="F1586" s="2">
        <v>40275</v>
      </c>
    </row>
    <row r="1587" spans="1:6" x14ac:dyDescent="0.75">
      <c r="A1587">
        <v>2022</v>
      </c>
      <c r="B1587" t="s">
        <v>54</v>
      </c>
      <c r="C1587" t="s">
        <v>4</v>
      </c>
      <c r="D1587" s="1">
        <v>185826</v>
      </c>
      <c r="E1587" s="1">
        <v>3010983</v>
      </c>
      <c r="F1587" s="2">
        <v>51095</v>
      </c>
    </row>
    <row r="1588" spans="1:6" x14ac:dyDescent="0.75">
      <c r="A1588">
        <v>2022</v>
      </c>
      <c r="B1588" t="s">
        <v>54</v>
      </c>
      <c r="C1588" t="s">
        <v>5</v>
      </c>
      <c r="D1588" s="1">
        <v>35715</v>
      </c>
      <c r="E1588" s="1">
        <v>458174</v>
      </c>
      <c r="F1588" s="2">
        <v>48601</v>
      </c>
    </row>
    <row r="1589" spans="1:6" x14ac:dyDescent="0.75">
      <c r="A1589">
        <v>2022</v>
      </c>
      <c r="B1589" t="s">
        <v>54</v>
      </c>
      <c r="C1589" t="s">
        <v>6</v>
      </c>
      <c r="D1589" s="1">
        <v>25027</v>
      </c>
      <c r="E1589" s="1">
        <v>297198</v>
      </c>
      <c r="F1589" s="2">
        <v>50064</v>
      </c>
    </row>
    <row r="1590" spans="1:6" x14ac:dyDescent="0.75">
      <c r="A1590">
        <v>2022</v>
      </c>
      <c r="B1590" t="s">
        <v>54</v>
      </c>
      <c r="C1590" t="s">
        <v>7</v>
      </c>
      <c r="D1590" s="1">
        <v>6681</v>
      </c>
      <c r="E1590" s="1">
        <v>79724</v>
      </c>
      <c r="F1590" s="2">
        <v>39700</v>
      </c>
    </row>
    <row r="1591" spans="1:6" x14ac:dyDescent="0.75">
      <c r="A1591">
        <v>2022</v>
      </c>
      <c r="B1591" t="s">
        <v>54</v>
      </c>
      <c r="C1591" t="s">
        <v>8</v>
      </c>
      <c r="D1591" s="1">
        <v>139501</v>
      </c>
      <c r="E1591" s="1">
        <v>1739867</v>
      </c>
      <c r="F1591" s="2">
        <v>43229</v>
      </c>
    </row>
    <row r="1592" spans="1:6" x14ac:dyDescent="0.75">
      <c r="A1592">
        <v>2022</v>
      </c>
      <c r="B1592" t="s">
        <v>54</v>
      </c>
      <c r="C1592" t="s">
        <v>9</v>
      </c>
      <c r="D1592" s="1">
        <v>60382</v>
      </c>
      <c r="E1592" s="1">
        <v>930943</v>
      </c>
      <c r="F1592" s="2">
        <v>48763</v>
      </c>
    </row>
    <row r="1593" spans="1:6" x14ac:dyDescent="0.75">
      <c r="A1593">
        <v>2022</v>
      </c>
      <c r="B1593" t="s">
        <v>54</v>
      </c>
      <c r="C1593" t="s">
        <v>10</v>
      </c>
      <c r="D1593" s="1">
        <v>11706</v>
      </c>
      <c r="E1593" s="1">
        <v>136606</v>
      </c>
      <c r="F1593" s="2">
        <v>38856</v>
      </c>
    </row>
    <row r="1594" spans="1:6" x14ac:dyDescent="0.75">
      <c r="A1594">
        <v>2022</v>
      </c>
      <c r="B1594" t="s">
        <v>54</v>
      </c>
      <c r="C1594" t="s">
        <v>11</v>
      </c>
      <c r="D1594" s="1">
        <v>77273</v>
      </c>
      <c r="E1594" s="1">
        <v>1192805</v>
      </c>
      <c r="F1594" s="2">
        <v>50025</v>
      </c>
    </row>
    <row r="1595" spans="1:6" x14ac:dyDescent="0.75">
      <c r="A1595">
        <v>2022</v>
      </c>
      <c r="B1595" t="s">
        <v>54</v>
      </c>
      <c r="C1595" t="s">
        <v>12</v>
      </c>
      <c r="D1595" s="1">
        <v>40630</v>
      </c>
      <c r="E1595" s="1">
        <v>588381</v>
      </c>
      <c r="F1595" s="2">
        <v>40479</v>
      </c>
    </row>
    <row r="1596" spans="1:6" x14ac:dyDescent="0.75">
      <c r="A1596">
        <v>2022</v>
      </c>
      <c r="B1596" t="s">
        <v>54</v>
      </c>
      <c r="C1596" t="s">
        <v>13</v>
      </c>
      <c r="D1596" s="1">
        <v>23446</v>
      </c>
      <c r="E1596" s="1">
        <v>311763</v>
      </c>
      <c r="F1596" s="2">
        <v>39025</v>
      </c>
    </row>
    <row r="1597" spans="1:6" x14ac:dyDescent="0.75">
      <c r="A1597">
        <v>2022</v>
      </c>
      <c r="B1597" t="s">
        <v>54</v>
      </c>
      <c r="C1597" t="s">
        <v>14</v>
      </c>
      <c r="D1597" s="1">
        <v>20676</v>
      </c>
      <c r="E1597" s="1">
        <v>263529</v>
      </c>
      <c r="F1597" s="2">
        <v>40705</v>
      </c>
    </row>
    <row r="1598" spans="1:6" x14ac:dyDescent="0.75">
      <c r="A1598">
        <v>2022</v>
      </c>
      <c r="B1598" t="s">
        <v>54</v>
      </c>
      <c r="C1598" t="s">
        <v>15</v>
      </c>
      <c r="D1598" s="1">
        <v>27941</v>
      </c>
      <c r="E1598" s="1">
        <v>398217</v>
      </c>
      <c r="F1598" s="2">
        <v>41261</v>
      </c>
    </row>
    <row r="1599" spans="1:6" x14ac:dyDescent="0.75">
      <c r="A1599">
        <v>2022</v>
      </c>
      <c r="B1599" t="s">
        <v>54</v>
      </c>
      <c r="C1599" t="s">
        <v>16</v>
      </c>
      <c r="D1599" s="1">
        <v>30444</v>
      </c>
      <c r="E1599" s="1">
        <v>378830</v>
      </c>
      <c r="F1599" s="2">
        <v>40938</v>
      </c>
    </row>
    <row r="1600" spans="1:6" x14ac:dyDescent="0.75">
      <c r="A1600">
        <v>2022</v>
      </c>
      <c r="B1600" t="s">
        <v>54</v>
      </c>
      <c r="C1600" t="s">
        <v>17</v>
      </c>
      <c r="D1600" s="1">
        <v>11060</v>
      </c>
      <c r="E1600" s="1">
        <v>119329</v>
      </c>
      <c r="F1600" s="2">
        <v>36287</v>
      </c>
    </row>
    <row r="1601" spans="1:6" x14ac:dyDescent="0.75">
      <c r="A1601">
        <v>2022</v>
      </c>
      <c r="B1601" t="s">
        <v>54</v>
      </c>
      <c r="C1601" t="s">
        <v>18</v>
      </c>
      <c r="D1601" s="1">
        <v>33064</v>
      </c>
      <c r="E1601" s="1">
        <v>462131</v>
      </c>
      <c r="F1601" s="2">
        <v>45367</v>
      </c>
    </row>
    <row r="1602" spans="1:6" x14ac:dyDescent="0.75">
      <c r="A1602">
        <v>2022</v>
      </c>
      <c r="B1602" t="s">
        <v>54</v>
      </c>
      <c r="C1602" t="s">
        <v>19</v>
      </c>
      <c r="D1602" s="1">
        <v>42906</v>
      </c>
      <c r="E1602" s="1">
        <v>577319</v>
      </c>
      <c r="F1602" s="2">
        <v>51500</v>
      </c>
    </row>
    <row r="1603" spans="1:6" x14ac:dyDescent="0.75">
      <c r="A1603">
        <v>2022</v>
      </c>
      <c r="B1603" t="s">
        <v>54</v>
      </c>
      <c r="C1603" t="s">
        <v>20</v>
      </c>
      <c r="D1603" s="1">
        <v>52149</v>
      </c>
      <c r="E1603" s="1">
        <v>784393</v>
      </c>
      <c r="F1603" s="2">
        <v>45628</v>
      </c>
    </row>
    <row r="1604" spans="1:6" x14ac:dyDescent="0.75">
      <c r="A1604">
        <v>2022</v>
      </c>
      <c r="B1604" t="s">
        <v>54</v>
      </c>
      <c r="C1604" t="s">
        <v>21</v>
      </c>
      <c r="D1604" s="1">
        <v>36334</v>
      </c>
      <c r="E1604" s="1">
        <v>531926</v>
      </c>
      <c r="F1604" s="2">
        <v>48273</v>
      </c>
    </row>
    <row r="1605" spans="1:6" x14ac:dyDescent="0.75">
      <c r="A1605">
        <v>2022</v>
      </c>
      <c r="B1605" t="s">
        <v>54</v>
      </c>
      <c r="C1605" t="s">
        <v>22</v>
      </c>
      <c r="D1605" s="1">
        <v>19589</v>
      </c>
      <c r="E1605" s="1">
        <v>229775</v>
      </c>
      <c r="F1605" s="2">
        <v>35324</v>
      </c>
    </row>
    <row r="1606" spans="1:6" x14ac:dyDescent="0.75">
      <c r="A1606">
        <v>2022</v>
      </c>
      <c r="B1606" t="s">
        <v>54</v>
      </c>
      <c r="C1606" t="s">
        <v>23</v>
      </c>
      <c r="D1606" s="1">
        <v>40324</v>
      </c>
      <c r="E1606" s="1">
        <v>538185</v>
      </c>
      <c r="F1606" s="2">
        <v>41095</v>
      </c>
    </row>
    <row r="1607" spans="1:6" x14ac:dyDescent="0.75">
      <c r="A1607">
        <v>2022</v>
      </c>
      <c r="B1607" t="s">
        <v>54</v>
      </c>
      <c r="C1607" t="s">
        <v>24</v>
      </c>
      <c r="D1607" s="1">
        <v>9270</v>
      </c>
      <c r="E1607" s="1">
        <v>91194</v>
      </c>
      <c r="F1607" s="2">
        <v>38067</v>
      </c>
    </row>
    <row r="1608" spans="1:6" x14ac:dyDescent="0.75">
      <c r="A1608">
        <v>2022</v>
      </c>
      <c r="B1608" t="s">
        <v>54</v>
      </c>
      <c r="C1608" t="s">
        <v>25</v>
      </c>
      <c r="D1608" s="1">
        <v>15024</v>
      </c>
      <c r="E1608" s="1">
        <v>190930</v>
      </c>
      <c r="F1608" s="2">
        <v>38493</v>
      </c>
    </row>
    <row r="1609" spans="1:6" x14ac:dyDescent="0.75">
      <c r="A1609">
        <v>2022</v>
      </c>
      <c r="B1609" t="s">
        <v>54</v>
      </c>
      <c r="C1609" t="s">
        <v>26</v>
      </c>
      <c r="D1609" s="1">
        <v>15910</v>
      </c>
      <c r="E1609" s="1">
        <v>247973</v>
      </c>
      <c r="F1609" s="2">
        <v>42847</v>
      </c>
    </row>
    <row r="1610" spans="1:6" x14ac:dyDescent="0.75">
      <c r="A1610">
        <v>2022</v>
      </c>
      <c r="B1610" t="s">
        <v>54</v>
      </c>
      <c r="C1610" t="s">
        <v>27</v>
      </c>
      <c r="D1610" s="1">
        <v>12612</v>
      </c>
      <c r="E1610" s="1">
        <v>139876</v>
      </c>
      <c r="F1610" s="2">
        <v>46101</v>
      </c>
    </row>
    <row r="1611" spans="1:6" x14ac:dyDescent="0.75">
      <c r="A1611">
        <v>2022</v>
      </c>
      <c r="B1611" t="s">
        <v>54</v>
      </c>
      <c r="C1611" t="s">
        <v>28</v>
      </c>
      <c r="D1611" s="1">
        <v>53977</v>
      </c>
      <c r="E1611" s="1">
        <v>872180</v>
      </c>
      <c r="F1611" s="2">
        <v>52631</v>
      </c>
    </row>
    <row r="1612" spans="1:6" x14ac:dyDescent="0.75">
      <c r="A1612">
        <v>2022</v>
      </c>
      <c r="B1612" t="s">
        <v>54</v>
      </c>
      <c r="C1612" t="s">
        <v>29</v>
      </c>
      <c r="D1612" s="1">
        <v>10538</v>
      </c>
      <c r="E1612" s="1">
        <v>134696</v>
      </c>
      <c r="F1612" s="2">
        <v>36519</v>
      </c>
    </row>
    <row r="1613" spans="1:6" x14ac:dyDescent="0.75">
      <c r="A1613">
        <v>2022</v>
      </c>
      <c r="B1613" t="s">
        <v>54</v>
      </c>
      <c r="C1613" t="s">
        <v>30</v>
      </c>
      <c r="D1613" s="1">
        <v>126549</v>
      </c>
      <c r="E1613" s="1">
        <v>1562385</v>
      </c>
      <c r="F1613" s="2">
        <v>50389</v>
      </c>
    </row>
    <row r="1614" spans="1:6" x14ac:dyDescent="0.75">
      <c r="A1614">
        <v>2022</v>
      </c>
      <c r="B1614" t="s">
        <v>54</v>
      </c>
      <c r="C1614" t="s">
        <v>31</v>
      </c>
      <c r="D1614" s="1">
        <v>61042</v>
      </c>
      <c r="E1614" s="1">
        <v>824989</v>
      </c>
      <c r="F1614" s="2">
        <v>41845</v>
      </c>
    </row>
    <row r="1615" spans="1:6" x14ac:dyDescent="0.75">
      <c r="A1615">
        <v>2022</v>
      </c>
      <c r="B1615" t="s">
        <v>54</v>
      </c>
      <c r="C1615" t="s">
        <v>32</v>
      </c>
      <c r="D1615" s="1">
        <v>7819</v>
      </c>
      <c r="E1615" s="1">
        <v>92052</v>
      </c>
      <c r="F1615" s="2">
        <v>47910</v>
      </c>
    </row>
    <row r="1616" spans="1:6" x14ac:dyDescent="0.75">
      <c r="A1616">
        <v>2022</v>
      </c>
      <c r="B1616" t="s">
        <v>54</v>
      </c>
      <c r="C1616" t="s">
        <v>33</v>
      </c>
      <c r="D1616" s="1">
        <v>68763</v>
      </c>
      <c r="E1616" s="1">
        <v>1018161</v>
      </c>
      <c r="F1616" s="2">
        <v>42564</v>
      </c>
    </row>
    <row r="1617" spans="1:6" x14ac:dyDescent="0.75">
      <c r="A1617">
        <v>2022</v>
      </c>
      <c r="B1617" t="s">
        <v>54</v>
      </c>
      <c r="C1617" t="s">
        <v>34</v>
      </c>
      <c r="D1617" s="1">
        <v>23838</v>
      </c>
      <c r="E1617" s="1">
        <v>301165</v>
      </c>
      <c r="F1617" s="2">
        <v>41040</v>
      </c>
    </row>
    <row r="1618" spans="1:6" x14ac:dyDescent="0.75">
      <c r="A1618">
        <v>2022</v>
      </c>
      <c r="B1618" t="s">
        <v>54</v>
      </c>
      <c r="C1618" t="s">
        <v>35</v>
      </c>
      <c r="D1618" s="1">
        <v>26684</v>
      </c>
      <c r="E1618" s="1">
        <v>347515</v>
      </c>
      <c r="F1618" s="2">
        <v>42870</v>
      </c>
    </row>
    <row r="1619" spans="1:6" x14ac:dyDescent="0.75">
      <c r="A1619">
        <v>2022</v>
      </c>
      <c r="B1619" t="s">
        <v>54</v>
      </c>
      <c r="C1619" t="s">
        <v>36</v>
      </c>
      <c r="D1619" s="1">
        <v>75374</v>
      </c>
      <c r="E1619" s="1">
        <v>1115565</v>
      </c>
      <c r="F1619" s="2">
        <v>43972</v>
      </c>
    </row>
    <row r="1620" spans="1:6" x14ac:dyDescent="0.75">
      <c r="A1620">
        <v>2022</v>
      </c>
      <c r="B1620" t="s">
        <v>54</v>
      </c>
      <c r="C1620" t="s">
        <v>37</v>
      </c>
      <c r="D1620" s="1">
        <v>7674</v>
      </c>
      <c r="E1620" s="1">
        <v>76263</v>
      </c>
      <c r="F1620" s="2">
        <v>42503</v>
      </c>
    </row>
    <row r="1621" spans="1:6" x14ac:dyDescent="0.75">
      <c r="A1621">
        <v>2022</v>
      </c>
      <c r="B1621" t="s">
        <v>54</v>
      </c>
      <c r="C1621" t="s">
        <v>38</v>
      </c>
      <c r="D1621" s="1">
        <v>29784</v>
      </c>
      <c r="E1621" s="1">
        <v>395329</v>
      </c>
      <c r="F1621" s="2">
        <v>38973</v>
      </c>
    </row>
    <row r="1622" spans="1:6" x14ac:dyDescent="0.75">
      <c r="A1622">
        <v>2022</v>
      </c>
      <c r="B1622" t="s">
        <v>54</v>
      </c>
      <c r="C1622" t="s">
        <v>39</v>
      </c>
      <c r="D1622" s="1">
        <v>8036</v>
      </c>
      <c r="E1622" s="1">
        <v>86427</v>
      </c>
      <c r="F1622" s="2">
        <v>38278</v>
      </c>
    </row>
    <row r="1623" spans="1:6" x14ac:dyDescent="0.75">
      <c r="A1623">
        <v>2022</v>
      </c>
      <c r="B1623" t="s">
        <v>54</v>
      </c>
      <c r="C1623" t="s">
        <v>40</v>
      </c>
      <c r="D1623" s="1">
        <v>39250</v>
      </c>
      <c r="E1623" s="1">
        <v>618046</v>
      </c>
      <c r="F1623" s="2">
        <v>44773</v>
      </c>
    </row>
    <row r="1624" spans="1:6" x14ac:dyDescent="0.75">
      <c r="A1624">
        <v>2022</v>
      </c>
      <c r="B1624" t="s">
        <v>54</v>
      </c>
      <c r="C1624" t="s">
        <v>41</v>
      </c>
      <c r="D1624" s="1">
        <v>145842</v>
      </c>
      <c r="E1624" s="1">
        <v>2432880</v>
      </c>
      <c r="F1624" s="2">
        <v>50316</v>
      </c>
    </row>
    <row r="1625" spans="1:6" x14ac:dyDescent="0.75">
      <c r="A1625">
        <v>2022</v>
      </c>
      <c r="B1625" t="s">
        <v>54</v>
      </c>
      <c r="C1625" t="s">
        <v>42</v>
      </c>
      <c r="D1625" s="1">
        <v>19048</v>
      </c>
      <c r="E1625" s="1">
        <v>276552</v>
      </c>
      <c r="F1625" s="2">
        <v>42378</v>
      </c>
    </row>
    <row r="1626" spans="1:6" x14ac:dyDescent="0.75">
      <c r="A1626">
        <v>2022</v>
      </c>
      <c r="B1626" t="s">
        <v>54</v>
      </c>
      <c r="C1626" t="s">
        <v>43</v>
      </c>
      <c r="D1626" s="1">
        <v>5138</v>
      </c>
      <c r="E1626" s="1">
        <v>55012</v>
      </c>
      <c r="F1626" s="2">
        <v>38650</v>
      </c>
    </row>
    <row r="1627" spans="1:6" x14ac:dyDescent="0.75">
      <c r="A1627">
        <v>2022</v>
      </c>
      <c r="B1627" t="s">
        <v>54</v>
      </c>
      <c r="C1627" t="s">
        <v>44</v>
      </c>
      <c r="D1627" s="1">
        <v>42996</v>
      </c>
      <c r="E1627" s="1">
        <v>652711</v>
      </c>
      <c r="F1627" s="2">
        <v>42291</v>
      </c>
    </row>
    <row r="1628" spans="1:6" x14ac:dyDescent="0.75">
      <c r="A1628">
        <v>2022</v>
      </c>
      <c r="B1628" t="s">
        <v>54</v>
      </c>
      <c r="C1628" t="s">
        <v>45</v>
      </c>
      <c r="D1628" s="1">
        <v>39715</v>
      </c>
      <c r="E1628" s="1">
        <v>610599</v>
      </c>
      <c r="F1628" s="2">
        <v>58924</v>
      </c>
    </row>
    <row r="1629" spans="1:6" x14ac:dyDescent="0.75">
      <c r="A1629">
        <v>2022</v>
      </c>
      <c r="B1629" t="s">
        <v>54</v>
      </c>
      <c r="C1629" t="s">
        <v>46</v>
      </c>
      <c r="D1629" s="1">
        <v>10925</v>
      </c>
      <c r="E1629" s="1">
        <v>129300</v>
      </c>
      <c r="F1629" s="2">
        <v>37489</v>
      </c>
    </row>
    <row r="1630" spans="1:6" x14ac:dyDescent="0.75">
      <c r="A1630">
        <v>2022</v>
      </c>
      <c r="B1630" t="s">
        <v>54</v>
      </c>
      <c r="C1630" t="s">
        <v>47</v>
      </c>
      <c r="D1630" s="1">
        <v>35433</v>
      </c>
      <c r="E1630" s="1">
        <v>539603</v>
      </c>
      <c r="F1630" s="2">
        <v>39831</v>
      </c>
    </row>
    <row r="1631" spans="1:6" x14ac:dyDescent="0.75">
      <c r="A1631">
        <v>2022</v>
      </c>
      <c r="B1631" t="s">
        <v>54</v>
      </c>
      <c r="C1631" t="s">
        <v>48</v>
      </c>
      <c r="D1631" s="1">
        <v>4822</v>
      </c>
      <c r="E1631" s="1">
        <v>49799</v>
      </c>
      <c r="F1631" s="2">
        <v>40999</v>
      </c>
    </row>
    <row r="1632" spans="1:6" x14ac:dyDescent="0.75">
      <c r="A1632">
        <v>2022</v>
      </c>
      <c r="B1632" t="s">
        <v>53</v>
      </c>
      <c r="C1632" t="s">
        <v>1</v>
      </c>
      <c r="D1632" s="1">
        <v>1969</v>
      </c>
      <c r="E1632" s="1">
        <v>20807</v>
      </c>
      <c r="F1632" s="2">
        <v>58932</v>
      </c>
    </row>
    <row r="1633" spans="1:6" x14ac:dyDescent="0.75">
      <c r="A1633">
        <v>2022</v>
      </c>
      <c r="B1633" t="s">
        <v>53</v>
      </c>
      <c r="C1633" t="s">
        <v>2</v>
      </c>
      <c r="D1633" s="1">
        <v>2461</v>
      </c>
      <c r="E1633" s="1">
        <v>44962</v>
      </c>
      <c r="F1633" s="2">
        <v>71171</v>
      </c>
    </row>
    <row r="1634" spans="1:6" x14ac:dyDescent="0.75">
      <c r="A1634">
        <v>2022</v>
      </c>
      <c r="B1634" t="s">
        <v>53</v>
      </c>
      <c r="C1634" t="s">
        <v>3</v>
      </c>
      <c r="D1634" s="1">
        <v>1123</v>
      </c>
      <c r="E1634" s="1">
        <v>12766</v>
      </c>
      <c r="F1634" s="2">
        <v>56682</v>
      </c>
    </row>
    <row r="1635" spans="1:6" x14ac:dyDescent="0.75">
      <c r="A1635">
        <v>2022</v>
      </c>
      <c r="B1635" t="s">
        <v>53</v>
      </c>
      <c r="C1635" t="s">
        <v>4</v>
      </c>
      <c r="D1635" s="1">
        <v>22519</v>
      </c>
      <c r="E1635" s="1">
        <v>513029</v>
      </c>
      <c r="F1635" s="2">
        <v>172309</v>
      </c>
    </row>
    <row r="1636" spans="1:6" x14ac:dyDescent="0.75">
      <c r="A1636">
        <v>2022</v>
      </c>
      <c r="B1636" t="s">
        <v>53</v>
      </c>
      <c r="C1636" t="s">
        <v>5</v>
      </c>
      <c r="D1636" s="1">
        <v>3891</v>
      </c>
      <c r="E1636" s="1">
        <v>71641</v>
      </c>
      <c r="F1636" s="2">
        <v>100781</v>
      </c>
    </row>
    <row r="1637" spans="1:6" x14ac:dyDescent="0.75">
      <c r="A1637">
        <v>2022</v>
      </c>
      <c r="B1637" t="s">
        <v>53</v>
      </c>
      <c r="C1637" t="s">
        <v>6</v>
      </c>
      <c r="D1637" s="1">
        <v>2146</v>
      </c>
      <c r="E1637" s="1">
        <v>31542</v>
      </c>
      <c r="F1637" s="2">
        <v>103094</v>
      </c>
    </row>
    <row r="1638" spans="1:6" x14ac:dyDescent="0.75">
      <c r="A1638">
        <v>2022</v>
      </c>
      <c r="B1638" t="s">
        <v>53</v>
      </c>
      <c r="C1638" t="s">
        <v>7</v>
      </c>
      <c r="D1638">
        <v>409</v>
      </c>
      <c r="E1638" s="1">
        <v>4560</v>
      </c>
      <c r="F1638" s="2">
        <v>64686</v>
      </c>
    </row>
    <row r="1639" spans="1:6" x14ac:dyDescent="0.75">
      <c r="A1639">
        <v>2022</v>
      </c>
      <c r="B1639" t="s">
        <v>53</v>
      </c>
      <c r="C1639" t="s">
        <v>8</v>
      </c>
      <c r="D1639" s="1">
        <v>10983</v>
      </c>
      <c r="E1639" s="1">
        <v>138039</v>
      </c>
      <c r="F1639" s="2">
        <v>80305</v>
      </c>
    </row>
    <row r="1640" spans="1:6" x14ac:dyDescent="0.75">
      <c r="A1640">
        <v>2022</v>
      </c>
      <c r="B1640" t="s">
        <v>53</v>
      </c>
      <c r="C1640" t="s">
        <v>9</v>
      </c>
      <c r="D1640" s="1">
        <v>4911</v>
      </c>
      <c r="E1640" s="1">
        <v>116074</v>
      </c>
      <c r="F1640" s="2">
        <v>96306</v>
      </c>
    </row>
    <row r="1641" spans="1:6" x14ac:dyDescent="0.75">
      <c r="A1641">
        <v>2022</v>
      </c>
      <c r="B1641" t="s">
        <v>53</v>
      </c>
      <c r="C1641" t="s">
        <v>10</v>
      </c>
      <c r="D1641" s="1">
        <v>1175</v>
      </c>
      <c r="E1641" s="1">
        <v>8923</v>
      </c>
      <c r="F1641" s="2">
        <v>51032</v>
      </c>
    </row>
    <row r="1642" spans="1:6" x14ac:dyDescent="0.75">
      <c r="A1642">
        <v>2022</v>
      </c>
      <c r="B1642" t="s">
        <v>53</v>
      </c>
      <c r="C1642" t="s">
        <v>11</v>
      </c>
      <c r="D1642" s="1">
        <v>6534</v>
      </c>
      <c r="E1642" s="1">
        <v>96181</v>
      </c>
      <c r="F1642" s="2">
        <v>85328</v>
      </c>
    </row>
    <row r="1643" spans="1:6" x14ac:dyDescent="0.75">
      <c r="A1643">
        <v>2022</v>
      </c>
      <c r="B1643" t="s">
        <v>53</v>
      </c>
      <c r="C1643" t="s">
        <v>12</v>
      </c>
      <c r="D1643" s="1">
        <v>2019</v>
      </c>
      <c r="E1643" s="1">
        <v>31465</v>
      </c>
      <c r="F1643" s="2">
        <v>59391</v>
      </c>
    </row>
    <row r="1644" spans="1:6" x14ac:dyDescent="0.75">
      <c r="A1644">
        <v>2022</v>
      </c>
      <c r="B1644" t="s">
        <v>53</v>
      </c>
      <c r="C1644" t="s">
        <v>13</v>
      </c>
      <c r="D1644" s="1">
        <v>1698</v>
      </c>
      <c r="E1644" s="1">
        <v>21891</v>
      </c>
      <c r="F1644" s="2">
        <v>55957</v>
      </c>
    </row>
    <row r="1645" spans="1:6" x14ac:dyDescent="0.75">
      <c r="A1645">
        <v>2022</v>
      </c>
      <c r="B1645" t="s">
        <v>53</v>
      </c>
      <c r="C1645" t="s">
        <v>14</v>
      </c>
      <c r="D1645" s="1">
        <v>1260</v>
      </c>
      <c r="E1645" s="1">
        <v>19279</v>
      </c>
      <c r="F1645" s="2">
        <v>61084</v>
      </c>
    </row>
    <row r="1646" spans="1:6" x14ac:dyDescent="0.75">
      <c r="A1646">
        <v>2022</v>
      </c>
      <c r="B1646" t="s">
        <v>53</v>
      </c>
      <c r="C1646" t="s">
        <v>15</v>
      </c>
      <c r="D1646" s="1">
        <v>1697</v>
      </c>
      <c r="E1646" s="1">
        <v>22698</v>
      </c>
      <c r="F1646" s="2">
        <v>54857</v>
      </c>
    </row>
    <row r="1647" spans="1:6" x14ac:dyDescent="0.75">
      <c r="A1647">
        <v>2022</v>
      </c>
      <c r="B1647" t="s">
        <v>53</v>
      </c>
      <c r="C1647" t="s">
        <v>16</v>
      </c>
      <c r="D1647" s="1">
        <v>1650</v>
      </c>
      <c r="E1647" s="1">
        <v>22941</v>
      </c>
      <c r="F1647" s="2">
        <v>55038</v>
      </c>
    </row>
    <row r="1648" spans="1:6" x14ac:dyDescent="0.75">
      <c r="A1648">
        <v>2022</v>
      </c>
      <c r="B1648" t="s">
        <v>53</v>
      </c>
      <c r="C1648" t="s">
        <v>17</v>
      </c>
      <c r="D1648">
        <v>843</v>
      </c>
      <c r="E1648" s="1">
        <v>7340</v>
      </c>
      <c r="F1648" s="2">
        <v>52561</v>
      </c>
    </row>
    <row r="1649" spans="1:6" x14ac:dyDescent="0.75">
      <c r="A1649">
        <v>2022</v>
      </c>
      <c r="B1649" t="s">
        <v>53</v>
      </c>
      <c r="C1649" t="s">
        <v>18</v>
      </c>
      <c r="D1649" s="1">
        <v>2719</v>
      </c>
      <c r="E1649" s="1">
        <v>37583</v>
      </c>
      <c r="F1649" s="2">
        <v>88009</v>
      </c>
    </row>
    <row r="1650" spans="1:6" x14ac:dyDescent="0.75">
      <c r="A1650">
        <v>2022</v>
      </c>
      <c r="B1650" t="s">
        <v>53</v>
      </c>
      <c r="C1650" t="s">
        <v>19</v>
      </c>
      <c r="D1650" s="1">
        <v>5143</v>
      </c>
      <c r="E1650" s="1">
        <v>91861</v>
      </c>
      <c r="F1650" s="2">
        <v>114166</v>
      </c>
    </row>
    <row r="1651" spans="1:6" x14ac:dyDescent="0.75">
      <c r="A1651">
        <v>2022</v>
      </c>
      <c r="B1651" t="s">
        <v>53</v>
      </c>
      <c r="C1651" t="s">
        <v>20</v>
      </c>
      <c r="D1651" s="1">
        <v>5934</v>
      </c>
      <c r="E1651" s="1">
        <v>56524</v>
      </c>
      <c r="F1651" s="2">
        <v>70884</v>
      </c>
    </row>
    <row r="1652" spans="1:6" x14ac:dyDescent="0.75">
      <c r="A1652">
        <v>2022</v>
      </c>
      <c r="B1652" t="s">
        <v>53</v>
      </c>
      <c r="C1652" t="s">
        <v>21</v>
      </c>
      <c r="D1652" s="1">
        <v>3663</v>
      </c>
      <c r="E1652" s="1">
        <v>50310</v>
      </c>
      <c r="F1652" s="2">
        <v>75459</v>
      </c>
    </row>
    <row r="1653" spans="1:6" x14ac:dyDescent="0.75">
      <c r="A1653">
        <v>2022</v>
      </c>
      <c r="B1653" t="s">
        <v>53</v>
      </c>
      <c r="C1653" t="s">
        <v>22</v>
      </c>
      <c r="D1653">
        <v>962</v>
      </c>
      <c r="E1653" s="1">
        <v>11593</v>
      </c>
      <c r="F1653" s="2">
        <v>48002</v>
      </c>
    </row>
    <row r="1654" spans="1:6" x14ac:dyDescent="0.75">
      <c r="A1654">
        <v>2022</v>
      </c>
      <c r="B1654" t="s">
        <v>53</v>
      </c>
      <c r="C1654" t="s">
        <v>23</v>
      </c>
      <c r="D1654" s="1">
        <v>3051</v>
      </c>
      <c r="E1654" s="1">
        <v>48249</v>
      </c>
      <c r="F1654" s="2">
        <v>73665</v>
      </c>
    </row>
    <row r="1655" spans="1:6" x14ac:dyDescent="0.75">
      <c r="A1655">
        <v>2022</v>
      </c>
      <c r="B1655" t="s">
        <v>53</v>
      </c>
      <c r="C1655" t="s">
        <v>24</v>
      </c>
      <c r="D1655">
        <v>759</v>
      </c>
      <c r="E1655" s="1">
        <v>6394</v>
      </c>
      <c r="F1655" s="2">
        <v>51903</v>
      </c>
    </row>
    <row r="1656" spans="1:6" x14ac:dyDescent="0.75">
      <c r="A1656">
        <v>2022</v>
      </c>
      <c r="B1656" t="s">
        <v>53</v>
      </c>
      <c r="C1656" t="s">
        <v>25</v>
      </c>
      <c r="D1656">
        <v>964</v>
      </c>
      <c r="E1656" s="1">
        <v>18204</v>
      </c>
      <c r="F1656" s="2">
        <v>61365</v>
      </c>
    </row>
    <row r="1657" spans="1:6" x14ac:dyDescent="0.75">
      <c r="A1657">
        <v>2022</v>
      </c>
      <c r="B1657" t="s">
        <v>53</v>
      </c>
      <c r="C1657" t="s">
        <v>26</v>
      </c>
      <c r="D1657" s="1">
        <v>1440</v>
      </c>
      <c r="E1657" s="1">
        <v>14735</v>
      </c>
      <c r="F1657" s="2">
        <v>65866</v>
      </c>
    </row>
    <row r="1658" spans="1:6" x14ac:dyDescent="0.75">
      <c r="A1658">
        <v>2022</v>
      </c>
      <c r="B1658" t="s">
        <v>53</v>
      </c>
      <c r="C1658" t="s">
        <v>27</v>
      </c>
      <c r="D1658">
        <v>843</v>
      </c>
      <c r="E1658" s="1">
        <v>12554</v>
      </c>
      <c r="F1658" s="2">
        <v>88119</v>
      </c>
    </row>
    <row r="1659" spans="1:6" x14ac:dyDescent="0.75">
      <c r="A1659">
        <v>2022</v>
      </c>
      <c r="B1659" t="s">
        <v>53</v>
      </c>
      <c r="C1659" t="s">
        <v>28</v>
      </c>
      <c r="D1659" s="1">
        <v>3595</v>
      </c>
      <c r="E1659" s="1">
        <v>70379</v>
      </c>
      <c r="F1659" s="2">
        <v>108638</v>
      </c>
    </row>
    <row r="1660" spans="1:6" x14ac:dyDescent="0.75">
      <c r="A1660">
        <v>2022</v>
      </c>
      <c r="B1660" t="s">
        <v>53</v>
      </c>
      <c r="C1660" t="s">
        <v>29</v>
      </c>
      <c r="D1660">
        <v>929</v>
      </c>
      <c r="E1660" s="1">
        <v>12398</v>
      </c>
      <c r="F1660" s="2">
        <v>51009</v>
      </c>
    </row>
    <row r="1661" spans="1:6" x14ac:dyDescent="0.75">
      <c r="A1661">
        <v>2022</v>
      </c>
      <c r="B1661" t="s">
        <v>53</v>
      </c>
      <c r="C1661" t="s">
        <v>30</v>
      </c>
      <c r="D1661" s="1">
        <v>12397</v>
      </c>
      <c r="E1661" s="1">
        <v>269233</v>
      </c>
      <c r="F1661" s="2">
        <v>119508</v>
      </c>
    </row>
    <row r="1662" spans="1:6" x14ac:dyDescent="0.75">
      <c r="A1662">
        <v>2022</v>
      </c>
      <c r="B1662" t="s">
        <v>53</v>
      </c>
      <c r="C1662" t="s">
        <v>31</v>
      </c>
      <c r="D1662" s="1">
        <v>5042</v>
      </c>
      <c r="E1662" s="1">
        <v>78826</v>
      </c>
      <c r="F1662" s="2">
        <v>80496</v>
      </c>
    </row>
    <row r="1663" spans="1:6" x14ac:dyDescent="0.75">
      <c r="A1663">
        <v>2022</v>
      </c>
      <c r="B1663" t="s">
        <v>53</v>
      </c>
      <c r="C1663" t="s">
        <v>32</v>
      </c>
      <c r="D1663">
        <v>396</v>
      </c>
      <c r="E1663" s="1">
        <v>6502</v>
      </c>
      <c r="F1663" s="2">
        <v>65114</v>
      </c>
    </row>
    <row r="1664" spans="1:6" x14ac:dyDescent="0.75">
      <c r="A1664">
        <v>2022</v>
      </c>
      <c r="B1664" t="s">
        <v>53</v>
      </c>
      <c r="C1664" t="s">
        <v>33</v>
      </c>
      <c r="D1664" s="1">
        <v>4456</v>
      </c>
      <c r="E1664" s="1">
        <v>71562</v>
      </c>
      <c r="F1664" s="2">
        <v>67912</v>
      </c>
    </row>
    <row r="1665" spans="1:6" x14ac:dyDescent="0.75">
      <c r="A1665">
        <v>2022</v>
      </c>
      <c r="B1665" t="s">
        <v>53</v>
      </c>
      <c r="C1665" t="s">
        <v>34</v>
      </c>
      <c r="D1665" s="1">
        <v>1491</v>
      </c>
      <c r="E1665" s="1">
        <v>20417</v>
      </c>
      <c r="F1665" s="2">
        <v>57922</v>
      </c>
    </row>
    <row r="1666" spans="1:6" x14ac:dyDescent="0.75">
      <c r="A1666">
        <v>2022</v>
      </c>
      <c r="B1666" t="s">
        <v>53</v>
      </c>
      <c r="C1666" t="s">
        <v>35</v>
      </c>
      <c r="D1666" s="1">
        <v>3521</v>
      </c>
      <c r="E1666" s="1">
        <v>34177</v>
      </c>
      <c r="F1666" s="2">
        <v>80210</v>
      </c>
    </row>
    <row r="1667" spans="1:6" x14ac:dyDescent="0.75">
      <c r="A1667">
        <v>2022</v>
      </c>
      <c r="B1667" t="s">
        <v>53</v>
      </c>
      <c r="C1667" t="s">
        <v>36</v>
      </c>
      <c r="D1667" s="1">
        <v>4664</v>
      </c>
      <c r="E1667" s="1">
        <v>83352</v>
      </c>
      <c r="F1667" s="2">
        <v>78987</v>
      </c>
    </row>
    <row r="1668" spans="1:6" x14ac:dyDescent="0.75">
      <c r="A1668">
        <v>2022</v>
      </c>
      <c r="B1668" t="s">
        <v>53</v>
      </c>
      <c r="C1668" t="s">
        <v>37</v>
      </c>
      <c r="D1668">
        <v>745</v>
      </c>
      <c r="E1668" s="1">
        <v>6125</v>
      </c>
      <c r="F1668" s="2">
        <v>70660</v>
      </c>
    </row>
    <row r="1669" spans="1:6" x14ac:dyDescent="0.75">
      <c r="A1669">
        <v>2022</v>
      </c>
      <c r="B1669" t="s">
        <v>53</v>
      </c>
      <c r="C1669" t="s">
        <v>38</v>
      </c>
      <c r="D1669" s="1">
        <v>2430</v>
      </c>
      <c r="E1669" s="1">
        <v>27428</v>
      </c>
      <c r="F1669" s="2">
        <v>61428</v>
      </c>
    </row>
    <row r="1670" spans="1:6" x14ac:dyDescent="0.75">
      <c r="A1670">
        <v>2022</v>
      </c>
      <c r="B1670" t="s">
        <v>53</v>
      </c>
      <c r="C1670" t="s">
        <v>39</v>
      </c>
      <c r="D1670">
        <v>561</v>
      </c>
      <c r="E1670" s="1">
        <v>5720</v>
      </c>
      <c r="F1670" s="2">
        <v>47231</v>
      </c>
    </row>
    <row r="1671" spans="1:6" x14ac:dyDescent="0.75">
      <c r="A1671">
        <v>2022</v>
      </c>
      <c r="B1671" t="s">
        <v>53</v>
      </c>
      <c r="C1671" t="s">
        <v>40</v>
      </c>
      <c r="D1671" s="1">
        <v>3260</v>
      </c>
      <c r="E1671" s="1">
        <v>45482</v>
      </c>
      <c r="F1671" s="2">
        <v>68381</v>
      </c>
    </row>
    <row r="1672" spans="1:6" x14ac:dyDescent="0.75">
      <c r="A1672">
        <v>2022</v>
      </c>
      <c r="B1672" t="s">
        <v>53</v>
      </c>
      <c r="C1672" t="s">
        <v>41</v>
      </c>
      <c r="D1672" s="1">
        <v>9521</v>
      </c>
      <c r="E1672" s="1">
        <v>201873</v>
      </c>
      <c r="F1672" s="2">
        <v>84394</v>
      </c>
    </row>
    <row r="1673" spans="1:6" x14ac:dyDescent="0.75">
      <c r="A1673">
        <v>2022</v>
      </c>
      <c r="B1673" t="s">
        <v>53</v>
      </c>
      <c r="C1673" t="s">
        <v>42</v>
      </c>
      <c r="D1673" s="1">
        <v>2347</v>
      </c>
      <c r="E1673" s="1">
        <v>37185</v>
      </c>
      <c r="F1673" s="2">
        <v>71167</v>
      </c>
    </row>
    <row r="1674" spans="1:6" x14ac:dyDescent="0.75">
      <c r="A1674">
        <v>2022</v>
      </c>
      <c r="B1674" t="s">
        <v>53</v>
      </c>
      <c r="C1674" t="s">
        <v>43</v>
      </c>
      <c r="D1674">
        <v>503</v>
      </c>
      <c r="E1674" s="1">
        <v>4478</v>
      </c>
      <c r="F1674" s="2">
        <v>58372</v>
      </c>
    </row>
    <row r="1675" spans="1:6" x14ac:dyDescent="0.75">
      <c r="A1675">
        <v>2022</v>
      </c>
      <c r="B1675" t="s">
        <v>53</v>
      </c>
      <c r="C1675" t="s">
        <v>44</v>
      </c>
      <c r="D1675" s="1">
        <v>4222</v>
      </c>
      <c r="E1675" s="1">
        <v>67623</v>
      </c>
      <c r="F1675" s="2">
        <v>98219</v>
      </c>
    </row>
    <row r="1676" spans="1:6" x14ac:dyDescent="0.75">
      <c r="A1676">
        <v>2022</v>
      </c>
      <c r="B1676" t="s">
        <v>53</v>
      </c>
      <c r="C1676" t="s">
        <v>45</v>
      </c>
      <c r="D1676" s="1">
        <v>4271</v>
      </c>
      <c r="E1676" s="1">
        <v>125798</v>
      </c>
      <c r="F1676" s="2">
        <v>172513</v>
      </c>
    </row>
    <row r="1677" spans="1:6" x14ac:dyDescent="0.75">
      <c r="A1677">
        <v>2022</v>
      </c>
      <c r="B1677" t="s">
        <v>53</v>
      </c>
      <c r="C1677" t="s">
        <v>46</v>
      </c>
      <c r="D1677">
        <v>764</v>
      </c>
      <c r="E1677" s="1">
        <v>8615</v>
      </c>
      <c r="F1677" s="2">
        <v>50474</v>
      </c>
    </row>
    <row r="1678" spans="1:6" x14ac:dyDescent="0.75">
      <c r="A1678">
        <v>2022</v>
      </c>
      <c r="B1678" t="s">
        <v>53</v>
      </c>
      <c r="C1678" t="s">
        <v>47</v>
      </c>
      <c r="D1678" s="1">
        <v>2126</v>
      </c>
      <c r="E1678" s="1">
        <v>47658</v>
      </c>
      <c r="F1678" s="2">
        <v>71912</v>
      </c>
    </row>
    <row r="1679" spans="1:6" x14ac:dyDescent="0.75">
      <c r="A1679">
        <v>2022</v>
      </c>
      <c r="B1679" t="s">
        <v>53</v>
      </c>
      <c r="C1679" t="s">
        <v>48</v>
      </c>
      <c r="D1679">
        <v>389</v>
      </c>
      <c r="E1679" s="1">
        <v>3680</v>
      </c>
      <c r="F1679" s="2">
        <v>46375</v>
      </c>
    </row>
    <row r="1680" spans="1:6" x14ac:dyDescent="0.75">
      <c r="A1680">
        <v>2022</v>
      </c>
      <c r="B1680" t="s">
        <v>56</v>
      </c>
      <c r="C1680" t="s">
        <v>1</v>
      </c>
      <c r="D1680" s="1">
        <v>13089</v>
      </c>
      <c r="E1680" s="1">
        <v>94756</v>
      </c>
      <c r="F1680" s="2">
        <v>66324</v>
      </c>
    </row>
    <row r="1681" spans="1:6" x14ac:dyDescent="0.75">
      <c r="A1681">
        <v>2022</v>
      </c>
      <c r="B1681" t="s">
        <v>56</v>
      </c>
      <c r="C1681" t="s">
        <v>2</v>
      </c>
      <c r="D1681" s="1">
        <v>15754</v>
      </c>
      <c r="E1681" s="1">
        <v>206540</v>
      </c>
      <c r="F1681" s="2">
        <v>68059</v>
      </c>
    </row>
    <row r="1682" spans="1:6" x14ac:dyDescent="0.75">
      <c r="A1682">
        <v>2022</v>
      </c>
      <c r="B1682" t="s">
        <v>56</v>
      </c>
      <c r="C1682" t="s">
        <v>3</v>
      </c>
      <c r="D1682" s="1">
        <v>8251</v>
      </c>
      <c r="E1682" s="1">
        <v>49596</v>
      </c>
      <c r="F1682" s="2">
        <v>55939</v>
      </c>
    </row>
    <row r="1683" spans="1:6" x14ac:dyDescent="0.75">
      <c r="A1683">
        <v>2022</v>
      </c>
      <c r="B1683" t="s">
        <v>56</v>
      </c>
      <c r="C1683" t="s">
        <v>4</v>
      </c>
      <c r="D1683" s="1">
        <v>98024</v>
      </c>
      <c r="E1683" s="1">
        <v>827494</v>
      </c>
      <c r="F1683" s="2">
        <v>104466</v>
      </c>
    </row>
    <row r="1684" spans="1:6" x14ac:dyDescent="0.75">
      <c r="A1684">
        <v>2022</v>
      </c>
      <c r="B1684" t="s">
        <v>56</v>
      </c>
      <c r="C1684" t="s">
        <v>5</v>
      </c>
      <c r="D1684" s="1">
        <v>22552</v>
      </c>
      <c r="E1684" s="1">
        <v>161870</v>
      </c>
      <c r="F1684" s="2">
        <v>81536</v>
      </c>
    </row>
    <row r="1685" spans="1:6" x14ac:dyDescent="0.75">
      <c r="A1685">
        <v>2022</v>
      </c>
      <c r="B1685" t="s">
        <v>56</v>
      </c>
      <c r="C1685" t="s">
        <v>6</v>
      </c>
      <c r="D1685" s="1">
        <v>10779</v>
      </c>
      <c r="E1685" s="1">
        <v>126051</v>
      </c>
      <c r="F1685" s="2">
        <v>152598</v>
      </c>
    </row>
    <row r="1686" spans="1:6" x14ac:dyDescent="0.75">
      <c r="A1686">
        <v>2022</v>
      </c>
      <c r="B1686" t="s">
        <v>56</v>
      </c>
      <c r="C1686" t="s">
        <v>7</v>
      </c>
      <c r="D1686" s="1">
        <v>2800</v>
      </c>
      <c r="E1686" s="1">
        <v>47894</v>
      </c>
      <c r="F1686" s="2">
        <v>92267</v>
      </c>
    </row>
    <row r="1687" spans="1:6" x14ac:dyDescent="0.75">
      <c r="A1687">
        <v>2022</v>
      </c>
      <c r="B1687" t="s">
        <v>56</v>
      </c>
      <c r="C1687" t="s">
        <v>8</v>
      </c>
      <c r="D1687" s="1">
        <v>71616</v>
      </c>
      <c r="E1687" s="1">
        <v>556510</v>
      </c>
      <c r="F1687" s="2">
        <v>72708</v>
      </c>
    </row>
    <row r="1688" spans="1:6" x14ac:dyDescent="0.75">
      <c r="A1688">
        <v>2022</v>
      </c>
      <c r="B1688" t="s">
        <v>56</v>
      </c>
      <c r="C1688" t="s">
        <v>9</v>
      </c>
      <c r="D1688" s="1">
        <v>25978</v>
      </c>
      <c r="E1688" s="1">
        <v>233995</v>
      </c>
      <c r="F1688" s="2">
        <v>81197</v>
      </c>
    </row>
    <row r="1689" spans="1:6" x14ac:dyDescent="0.75">
      <c r="A1689">
        <v>2022</v>
      </c>
      <c r="B1689" t="s">
        <v>56</v>
      </c>
      <c r="C1689" t="s">
        <v>10</v>
      </c>
      <c r="D1689" s="1">
        <v>5522</v>
      </c>
      <c r="E1689" s="1">
        <v>31064</v>
      </c>
      <c r="F1689" s="2">
        <v>53820</v>
      </c>
    </row>
    <row r="1690" spans="1:6" x14ac:dyDescent="0.75">
      <c r="A1690">
        <v>2022</v>
      </c>
      <c r="B1690" t="s">
        <v>56</v>
      </c>
      <c r="C1690" t="s">
        <v>11</v>
      </c>
      <c r="D1690" s="1">
        <v>32114</v>
      </c>
      <c r="E1690" s="1">
        <v>370517</v>
      </c>
      <c r="F1690" s="2">
        <v>104689</v>
      </c>
    </row>
    <row r="1691" spans="1:6" x14ac:dyDescent="0.75">
      <c r="A1691">
        <v>2022</v>
      </c>
      <c r="B1691" t="s">
        <v>56</v>
      </c>
      <c r="C1691" t="s">
        <v>12</v>
      </c>
      <c r="D1691" s="1">
        <v>16124</v>
      </c>
      <c r="E1691" s="1">
        <v>131758</v>
      </c>
      <c r="F1691" s="2">
        <v>62518</v>
      </c>
    </row>
    <row r="1692" spans="1:6" x14ac:dyDescent="0.75">
      <c r="A1692">
        <v>2022</v>
      </c>
      <c r="B1692" t="s">
        <v>56</v>
      </c>
      <c r="C1692" t="s">
        <v>13</v>
      </c>
      <c r="D1692" s="1">
        <v>9983</v>
      </c>
      <c r="E1692" s="1">
        <v>108983</v>
      </c>
      <c r="F1692" s="2">
        <v>71597</v>
      </c>
    </row>
    <row r="1693" spans="1:6" x14ac:dyDescent="0.75">
      <c r="A1693">
        <v>2022</v>
      </c>
      <c r="B1693" t="s">
        <v>56</v>
      </c>
      <c r="C1693" t="s">
        <v>14</v>
      </c>
      <c r="D1693" s="1">
        <v>8858</v>
      </c>
      <c r="E1693" s="1">
        <v>74321</v>
      </c>
      <c r="F1693" s="2">
        <v>65845</v>
      </c>
    </row>
    <row r="1694" spans="1:6" x14ac:dyDescent="0.75">
      <c r="A1694">
        <v>2022</v>
      </c>
      <c r="B1694" t="s">
        <v>56</v>
      </c>
      <c r="C1694" t="s">
        <v>15</v>
      </c>
      <c r="D1694" s="1">
        <v>10845</v>
      </c>
      <c r="E1694" s="1">
        <v>93126</v>
      </c>
      <c r="F1694" s="2">
        <v>64967</v>
      </c>
    </row>
    <row r="1695" spans="1:6" x14ac:dyDescent="0.75">
      <c r="A1695">
        <v>2022</v>
      </c>
      <c r="B1695" t="s">
        <v>56</v>
      </c>
      <c r="C1695" t="s">
        <v>16</v>
      </c>
      <c r="D1695" s="1">
        <v>13618</v>
      </c>
      <c r="E1695" s="1">
        <v>85771</v>
      </c>
      <c r="F1695" s="2">
        <v>59758</v>
      </c>
    </row>
    <row r="1696" spans="1:6" x14ac:dyDescent="0.75">
      <c r="A1696">
        <v>2022</v>
      </c>
      <c r="B1696" t="s">
        <v>56</v>
      </c>
      <c r="C1696" t="s">
        <v>17</v>
      </c>
      <c r="D1696" s="1">
        <v>3827</v>
      </c>
      <c r="E1696" s="1">
        <v>29417</v>
      </c>
      <c r="F1696" s="2">
        <v>65934</v>
      </c>
    </row>
    <row r="1697" spans="1:6" x14ac:dyDescent="0.75">
      <c r="A1697">
        <v>2022</v>
      </c>
      <c r="B1697" t="s">
        <v>56</v>
      </c>
      <c r="C1697" t="s">
        <v>18</v>
      </c>
      <c r="D1697" s="1">
        <v>15099</v>
      </c>
      <c r="E1697" s="1">
        <v>140287</v>
      </c>
      <c r="F1697" s="2">
        <v>90791</v>
      </c>
    </row>
    <row r="1698" spans="1:6" x14ac:dyDescent="0.75">
      <c r="A1698">
        <v>2022</v>
      </c>
      <c r="B1698" t="s">
        <v>56</v>
      </c>
      <c r="C1698" t="s">
        <v>19</v>
      </c>
      <c r="D1698" s="1">
        <v>17270</v>
      </c>
      <c r="E1698" s="1">
        <v>216567</v>
      </c>
      <c r="F1698" s="2">
        <v>136040</v>
      </c>
    </row>
    <row r="1699" spans="1:6" x14ac:dyDescent="0.75">
      <c r="A1699">
        <v>2022</v>
      </c>
      <c r="B1699" t="s">
        <v>56</v>
      </c>
      <c r="C1699" t="s">
        <v>20</v>
      </c>
      <c r="D1699" s="1">
        <v>18942</v>
      </c>
      <c r="E1699" s="1">
        <v>202358</v>
      </c>
      <c r="F1699" s="2">
        <v>69275</v>
      </c>
    </row>
    <row r="1700" spans="1:6" x14ac:dyDescent="0.75">
      <c r="A1700">
        <v>2022</v>
      </c>
      <c r="B1700" t="s">
        <v>56</v>
      </c>
      <c r="C1700" t="s">
        <v>21</v>
      </c>
      <c r="D1700" s="1">
        <v>15467</v>
      </c>
      <c r="E1700" s="1">
        <v>175945</v>
      </c>
      <c r="F1700" s="2">
        <v>91036</v>
      </c>
    </row>
    <row r="1701" spans="1:6" x14ac:dyDescent="0.75">
      <c r="A1701">
        <v>2022</v>
      </c>
      <c r="B1701" t="s">
        <v>56</v>
      </c>
      <c r="C1701" t="s">
        <v>22</v>
      </c>
      <c r="D1701" s="1">
        <v>7854</v>
      </c>
      <c r="E1701" s="1">
        <v>42981</v>
      </c>
      <c r="F1701" s="2">
        <v>51222</v>
      </c>
    </row>
    <row r="1702" spans="1:6" x14ac:dyDescent="0.75">
      <c r="A1702">
        <v>2022</v>
      </c>
      <c r="B1702" t="s">
        <v>56</v>
      </c>
      <c r="C1702" t="s">
        <v>23</v>
      </c>
      <c r="D1702" s="1">
        <v>17661</v>
      </c>
      <c r="E1702" s="1">
        <v>163353</v>
      </c>
      <c r="F1702" s="2">
        <v>68974</v>
      </c>
    </row>
    <row r="1703" spans="1:6" x14ac:dyDescent="0.75">
      <c r="A1703">
        <v>2022</v>
      </c>
      <c r="B1703" t="s">
        <v>56</v>
      </c>
      <c r="C1703" t="s">
        <v>24</v>
      </c>
      <c r="D1703" s="1">
        <v>4178</v>
      </c>
      <c r="E1703" s="1">
        <v>20935</v>
      </c>
      <c r="F1703" s="2">
        <v>56708</v>
      </c>
    </row>
    <row r="1704" spans="1:6" x14ac:dyDescent="0.75">
      <c r="A1704">
        <v>2022</v>
      </c>
      <c r="B1704" t="s">
        <v>56</v>
      </c>
      <c r="C1704" t="s">
        <v>25</v>
      </c>
      <c r="D1704" s="1">
        <v>6481</v>
      </c>
      <c r="E1704" s="1">
        <v>66237</v>
      </c>
      <c r="F1704" s="2">
        <v>63484</v>
      </c>
    </row>
    <row r="1705" spans="1:6" x14ac:dyDescent="0.75">
      <c r="A1705">
        <v>2022</v>
      </c>
      <c r="B1705" t="s">
        <v>56</v>
      </c>
      <c r="C1705" t="s">
        <v>26</v>
      </c>
      <c r="D1705" s="1">
        <v>8856</v>
      </c>
      <c r="E1705" s="1">
        <v>61375</v>
      </c>
      <c r="F1705" s="2">
        <v>63979</v>
      </c>
    </row>
    <row r="1706" spans="1:6" x14ac:dyDescent="0.75">
      <c r="A1706">
        <v>2022</v>
      </c>
      <c r="B1706" t="s">
        <v>56</v>
      </c>
      <c r="C1706" t="s">
        <v>27</v>
      </c>
      <c r="D1706" s="1">
        <v>3835</v>
      </c>
      <c r="E1706" s="1">
        <v>33894</v>
      </c>
      <c r="F1706" s="2">
        <v>91139</v>
      </c>
    </row>
    <row r="1707" spans="1:6" x14ac:dyDescent="0.75">
      <c r="A1707">
        <v>2022</v>
      </c>
      <c r="B1707" t="s">
        <v>56</v>
      </c>
      <c r="C1707" t="s">
        <v>28</v>
      </c>
      <c r="D1707" s="1">
        <v>19625</v>
      </c>
      <c r="E1707" s="1">
        <v>241026</v>
      </c>
      <c r="F1707" s="2">
        <v>111862</v>
      </c>
    </row>
    <row r="1708" spans="1:6" x14ac:dyDescent="0.75">
      <c r="A1708">
        <v>2022</v>
      </c>
      <c r="B1708" t="s">
        <v>56</v>
      </c>
      <c r="C1708" t="s">
        <v>29</v>
      </c>
      <c r="D1708" s="1">
        <v>5092</v>
      </c>
      <c r="E1708" s="1">
        <v>32604</v>
      </c>
      <c r="F1708" s="2">
        <v>53932</v>
      </c>
    </row>
    <row r="1709" spans="1:6" x14ac:dyDescent="0.75">
      <c r="A1709">
        <v>2022</v>
      </c>
      <c r="B1709" t="s">
        <v>56</v>
      </c>
      <c r="C1709" t="s">
        <v>30</v>
      </c>
      <c r="D1709" s="1">
        <v>65326</v>
      </c>
      <c r="E1709" s="1">
        <v>708995</v>
      </c>
      <c r="F1709" s="2">
        <v>189559</v>
      </c>
    </row>
    <row r="1710" spans="1:6" x14ac:dyDescent="0.75">
      <c r="A1710">
        <v>2022</v>
      </c>
      <c r="B1710" t="s">
        <v>56</v>
      </c>
      <c r="C1710" t="s">
        <v>31</v>
      </c>
      <c r="D1710" s="1">
        <v>27332</v>
      </c>
      <c r="E1710" s="1">
        <v>226679</v>
      </c>
      <c r="F1710" s="2">
        <v>82975</v>
      </c>
    </row>
    <row r="1711" spans="1:6" x14ac:dyDescent="0.75">
      <c r="A1711">
        <v>2022</v>
      </c>
      <c r="B1711" t="s">
        <v>56</v>
      </c>
      <c r="C1711" t="s">
        <v>32</v>
      </c>
      <c r="D1711" s="1">
        <v>2979</v>
      </c>
      <c r="E1711" s="1">
        <v>23135</v>
      </c>
      <c r="F1711" s="2">
        <v>60044</v>
      </c>
    </row>
    <row r="1712" spans="1:6" x14ac:dyDescent="0.75">
      <c r="A1712">
        <v>2022</v>
      </c>
      <c r="B1712" t="s">
        <v>56</v>
      </c>
      <c r="C1712" t="s">
        <v>33</v>
      </c>
      <c r="D1712" s="1">
        <v>28537</v>
      </c>
      <c r="E1712" s="1">
        <v>288615</v>
      </c>
      <c r="F1712" s="2">
        <v>69967</v>
      </c>
    </row>
    <row r="1713" spans="1:6" x14ac:dyDescent="0.75">
      <c r="A1713">
        <v>2022</v>
      </c>
      <c r="B1713" t="s">
        <v>56</v>
      </c>
      <c r="C1713" t="s">
        <v>34</v>
      </c>
      <c r="D1713" s="1">
        <v>11379</v>
      </c>
      <c r="E1713" s="1">
        <v>76757</v>
      </c>
      <c r="F1713" s="2">
        <v>56323</v>
      </c>
    </row>
    <row r="1714" spans="1:6" x14ac:dyDescent="0.75">
      <c r="A1714">
        <v>2022</v>
      </c>
      <c r="B1714" t="s">
        <v>56</v>
      </c>
      <c r="C1714" t="s">
        <v>35</v>
      </c>
      <c r="D1714" s="1">
        <v>12686</v>
      </c>
      <c r="E1714" s="1">
        <v>83715</v>
      </c>
      <c r="F1714" s="2">
        <v>67638</v>
      </c>
    </row>
    <row r="1715" spans="1:6" x14ac:dyDescent="0.75">
      <c r="A1715">
        <v>2022</v>
      </c>
      <c r="B1715" t="s">
        <v>56</v>
      </c>
      <c r="C1715" t="s">
        <v>36</v>
      </c>
      <c r="D1715" s="1">
        <v>28479</v>
      </c>
      <c r="E1715" s="1">
        <v>321121</v>
      </c>
      <c r="F1715" s="2">
        <v>85405</v>
      </c>
    </row>
    <row r="1716" spans="1:6" x14ac:dyDescent="0.75">
      <c r="A1716">
        <v>2022</v>
      </c>
      <c r="B1716" t="s">
        <v>56</v>
      </c>
      <c r="C1716" t="s">
        <v>37</v>
      </c>
      <c r="D1716" s="1">
        <v>2802</v>
      </c>
      <c r="E1716" s="1">
        <v>32758</v>
      </c>
      <c r="F1716" s="2">
        <v>89570</v>
      </c>
    </row>
    <row r="1717" spans="1:6" x14ac:dyDescent="0.75">
      <c r="A1717">
        <v>2022</v>
      </c>
      <c r="B1717" t="s">
        <v>56</v>
      </c>
      <c r="C1717" t="s">
        <v>38</v>
      </c>
      <c r="D1717" s="1">
        <v>12653</v>
      </c>
      <c r="E1717" s="1">
        <v>98790</v>
      </c>
      <c r="F1717" s="2">
        <v>59859</v>
      </c>
    </row>
    <row r="1718" spans="1:6" x14ac:dyDescent="0.75">
      <c r="A1718">
        <v>2022</v>
      </c>
      <c r="B1718" t="s">
        <v>56</v>
      </c>
      <c r="C1718" t="s">
        <v>39</v>
      </c>
      <c r="D1718" s="1">
        <v>3221</v>
      </c>
      <c r="E1718" s="1">
        <v>28761</v>
      </c>
      <c r="F1718" s="2">
        <v>57506</v>
      </c>
    </row>
    <row r="1719" spans="1:6" x14ac:dyDescent="0.75">
      <c r="A1719">
        <v>2022</v>
      </c>
      <c r="B1719" t="s">
        <v>56</v>
      </c>
      <c r="C1719" t="s">
        <v>40</v>
      </c>
      <c r="D1719" s="1">
        <v>15531</v>
      </c>
      <c r="E1719" s="1">
        <v>148433</v>
      </c>
      <c r="F1719" s="2">
        <v>71601</v>
      </c>
    </row>
    <row r="1720" spans="1:6" x14ac:dyDescent="0.75">
      <c r="A1720">
        <v>2022</v>
      </c>
      <c r="B1720" t="s">
        <v>56</v>
      </c>
      <c r="C1720" t="s">
        <v>41</v>
      </c>
      <c r="D1720" s="1">
        <v>71279</v>
      </c>
      <c r="E1720" s="1">
        <v>740328</v>
      </c>
      <c r="F1720" s="2">
        <v>80242</v>
      </c>
    </row>
    <row r="1721" spans="1:6" x14ac:dyDescent="0.75">
      <c r="A1721">
        <v>2022</v>
      </c>
      <c r="B1721" t="s">
        <v>56</v>
      </c>
      <c r="C1721" t="s">
        <v>42</v>
      </c>
      <c r="D1721" s="1">
        <v>11066</v>
      </c>
      <c r="E1721" s="1">
        <v>84072</v>
      </c>
      <c r="F1721" s="2">
        <v>64760</v>
      </c>
    </row>
    <row r="1722" spans="1:6" x14ac:dyDescent="0.75">
      <c r="A1722">
        <v>2022</v>
      </c>
      <c r="B1722" t="s">
        <v>56</v>
      </c>
      <c r="C1722" t="s">
        <v>43</v>
      </c>
      <c r="D1722" s="1">
        <v>1700</v>
      </c>
      <c r="E1722" s="1">
        <v>11731</v>
      </c>
      <c r="F1722" s="2">
        <v>70768</v>
      </c>
    </row>
    <row r="1723" spans="1:6" x14ac:dyDescent="0.75">
      <c r="A1723">
        <v>2022</v>
      </c>
      <c r="B1723" t="s">
        <v>56</v>
      </c>
      <c r="C1723" t="s">
        <v>44</v>
      </c>
      <c r="D1723" s="1">
        <v>21609</v>
      </c>
      <c r="E1723" s="1">
        <v>192079</v>
      </c>
      <c r="F1723" s="2">
        <v>82201</v>
      </c>
    </row>
    <row r="1724" spans="1:6" x14ac:dyDescent="0.75">
      <c r="A1724">
        <v>2022</v>
      </c>
      <c r="B1724" t="s">
        <v>56</v>
      </c>
      <c r="C1724" t="s">
        <v>45</v>
      </c>
      <c r="D1724" s="1">
        <v>17184</v>
      </c>
      <c r="E1724" s="1">
        <v>144458</v>
      </c>
      <c r="F1724" s="2">
        <v>76957</v>
      </c>
    </row>
    <row r="1725" spans="1:6" x14ac:dyDescent="0.75">
      <c r="A1725">
        <v>2022</v>
      </c>
      <c r="B1725" t="s">
        <v>56</v>
      </c>
      <c r="C1725" t="s">
        <v>46</v>
      </c>
      <c r="D1725" s="1">
        <v>3992</v>
      </c>
      <c r="E1725" s="1">
        <v>24123</v>
      </c>
      <c r="F1725" s="2">
        <v>50354</v>
      </c>
    </row>
    <row r="1726" spans="1:6" x14ac:dyDescent="0.75">
      <c r="A1726">
        <v>2022</v>
      </c>
      <c r="B1726" t="s">
        <v>56</v>
      </c>
      <c r="C1726" t="s">
        <v>47</v>
      </c>
      <c r="D1726" s="1">
        <v>13244</v>
      </c>
      <c r="E1726" s="1">
        <v>148873</v>
      </c>
      <c r="F1726" s="2">
        <v>68759</v>
      </c>
    </row>
    <row r="1727" spans="1:6" x14ac:dyDescent="0.75">
      <c r="A1727">
        <v>2022</v>
      </c>
      <c r="B1727" t="s">
        <v>56</v>
      </c>
      <c r="C1727" t="s">
        <v>48</v>
      </c>
      <c r="D1727" s="1">
        <v>2248</v>
      </c>
      <c r="E1727" s="1">
        <v>10938</v>
      </c>
      <c r="F1727" s="2">
        <v>54692</v>
      </c>
    </row>
    <row r="1728" spans="1:6" x14ac:dyDescent="0.75">
      <c r="A1728">
        <v>2022</v>
      </c>
      <c r="B1728" t="s">
        <v>57</v>
      </c>
      <c r="C1728" t="s">
        <v>1</v>
      </c>
      <c r="D1728" s="1">
        <v>21426</v>
      </c>
      <c r="E1728" s="1">
        <v>239356</v>
      </c>
      <c r="F1728" s="2">
        <v>53774</v>
      </c>
    </row>
    <row r="1729" spans="1:6" x14ac:dyDescent="0.75">
      <c r="A1729">
        <v>2022</v>
      </c>
      <c r="B1729" t="s">
        <v>57</v>
      </c>
      <c r="C1729" t="s">
        <v>2</v>
      </c>
      <c r="D1729" s="1">
        <v>31059</v>
      </c>
      <c r="E1729" s="1">
        <v>417456</v>
      </c>
      <c r="F1729" s="2">
        <v>55334</v>
      </c>
    </row>
    <row r="1730" spans="1:6" x14ac:dyDescent="0.75">
      <c r="A1730">
        <v>2022</v>
      </c>
      <c r="B1730" t="s">
        <v>57</v>
      </c>
      <c r="C1730" t="s">
        <v>3</v>
      </c>
      <c r="D1730" s="1">
        <v>13845</v>
      </c>
      <c r="E1730" s="1">
        <v>144215</v>
      </c>
      <c r="F1730" s="2">
        <v>59263</v>
      </c>
    </row>
    <row r="1731" spans="1:6" x14ac:dyDescent="0.75">
      <c r="A1731">
        <v>2022</v>
      </c>
      <c r="B1731" t="s">
        <v>57</v>
      </c>
      <c r="C1731" t="s">
        <v>4</v>
      </c>
      <c r="D1731" s="1">
        <v>188712</v>
      </c>
      <c r="E1731" s="1">
        <v>2551444</v>
      </c>
      <c r="F1731" s="2">
        <v>86955</v>
      </c>
    </row>
    <row r="1732" spans="1:6" x14ac:dyDescent="0.75">
      <c r="A1732">
        <v>2022</v>
      </c>
      <c r="B1732" t="s">
        <v>57</v>
      </c>
      <c r="C1732" t="s">
        <v>5</v>
      </c>
      <c r="D1732" s="1">
        <v>50576</v>
      </c>
      <c r="E1732" s="1">
        <v>412889</v>
      </c>
      <c r="F1732" s="2">
        <v>78698</v>
      </c>
    </row>
    <row r="1733" spans="1:6" x14ac:dyDescent="0.75">
      <c r="A1733">
        <v>2022</v>
      </c>
      <c r="B1733" t="s">
        <v>57</v>
      </c>
      <c r="C1733" t="s">
        <v>6</v>
      </c>
      <c r="D1733" s="1">
        <v>22807</v>
      </c>
      <c r="E1733" s="1">
        <v>218450</v>
      </c>
      <c r="F1733" s="2">
        <v>87307</v>
      </c>
    </row>
    <row r="1734" spans="1:6" x14ac:dyDescent="0.75">
      <c r="A1734">
        <v>2022</v>
      </c>
      <c r="B1734" t="s">
        <v>57</v>
      </c>
      <c r="C1734" t="s">
        <v>7</v>
      </c>
      <c r="D1734" s="1">
        <v>8644</v>
      </c>
      <c r="E1734" s="1">
        <v>61956</v>
      </c>
      <c r="F1734" s="2">
        <v>80600</v>
      </c>
    </row>
    <row r="1735" spans="1:6" x14ac:dyDescent="0.75">
      <c r="A1735">
        <v>2022</v>
      </c>
      <c r="B1735" t="s">
        <v>57</v>
      </c>
      <c r="C1735" t="s">
        <v>8</v>
      </c>
      <c r="D1735" s="1">
        <v>156978</v>
      </c>
      <c r="E1735" s="1">
        <v>1322562</v>
      </c>
      <c r="F1735" s="2">
        <v>58653</v>
      </c>
    </row>
    <row r="1736" spans="1:6" x14ac:dyDescent="0.75">
      <c r="A1736">
        <v>2022</v>
      </c>
      <c r="B1736" t="s">
        <v>57</v>
      </c>
      <c r="C1736" t="s">
        <v>9</v>
      </c>
      <c r="D1736" s="1">
        <v>54102</v>
      </c>
      <c r="E1736" s="1">
        <v>668820</v>
      </c>
      <c r="F1736" s="2">
        <v>64724</v>
      </c>
    </row>
    <row r="1737" spans="1:6" x14ac:dyDescent="0.75">
      <c r="A1737">
        <v>2022</v>
      </c>
      <c r="B1737" t="s">
        <v>57</v>
      </c>
      <c r="C1737" t="s">
        <v>10</v>
      </c>
      <c r="D1737" s="1">
        <v>11075</v>
      </c>
      <c r="E1737" s="1">
        <v>88110</v>
      </c>
      <c r="F1737" s="2">
        <v>48653</v>
      </c>
    </row>
    <row r="1738" spans="1:6" x14ac:dyDescent="0.75">
      <c r="A1738">
        <v>2022</v>
      </c>
      <c r="B1738" t="s">
        <v>57</v>
      </c>
      <c r="C1738" t="s">
        <v>11</v>
      </c>
      <c r="D1738" s="1">
        <v>73447</v>
      </c>
      <c r="E1738" s="1">
        <v>942202</v>
      </c>
      <c r="F1738" s="2">
        <v>73829</v>
      </c>
    </row>
    <row r="1739" spans="1:6" x14ac:dyDescent="0.75">
      <c r="A1739">
        <v>2022</v>
      </c>
      <c r="B1739" t="s">
        <v>57</v>
      </c>
      <c r="C1739" t="s">
        <v>12</v>
      </c>
      <c r="D1739" s="1">
        <v>29045</v>
      </c>
      <c r="E1739" s="1">
        <v>336985</v>
      </c>
      <c r="F1739" s="2">
        <v>50796</v>
      </c>
    </row>
    <row r="1740" spans="1:6" x14ac:dyDescent="0.75">
      <c r="A1740">
        <v>2022</v>
      </c>
      <c r="B1740" t="s">
        <v>57</v>
      </c>
      <c r="C1740" t="s">
        <v>13</v>
      </c>
      <c r="D1740" s="1">
        <v>15401</v>
      </c>
      <c r="E1740" s="1">
        <v>139096</v>
      </c>
      <c r="F1740" s="2">
        <v>52293</v>
      </c>
    </row>
    <row r="1741" spans="1:6" x14ac:dyDescent="0.75">
      <c r="A1741">
        <v>2022</v>
      </c>
      <c r="B1741" t="s">
        <v>57</v>
      </c>
      <c r="C1741" t="s">
        <v>14</v>
      </c>
      <c r="D1741" s="1">
        <v>16569</v>
      </c>
      <c r="E1741" s="1">
        <v>177353</v>
      </c>
      <c r="F1741" s="2">
        <v>59048</v>
      </c>
    </row>
    <row r="1742" spans="1:6" x14ac:dyDescent="0.75">
      <c r="A1742">
        <v>2022</v>
      </c>
      <c r="B1742" t="s">
        <v>57</v>
      </c>
      <c r="C1742" t="s">
        <v>15</v>
      </c>
      <c r="D1742" s="1">
        <v>20206</v>
      </c>
      <c r="E1742" s="1">
        <v>214141</v>
      </c>
      <c r="F1742" s="2">
        <v>48829</v>
      </c>
    </row>
    <row r="1743" spans="1:6" x14ac:dyDescent="0.75">
      <c r="A1743">
        <v>2022</v>
      </c>
      <c r="B1743" t="s">
        <v>57</v>
      </c>
      <c r="C1743" t="s">
        <v>16</v>
      </c>
      <c r="D1743" s="1">
        <v>24001</v>
      </c>
      <c r="E1743" s="1">
        <v>209874</v>
      </c>
      <c r="F1743" s="2">
        <v>55218</v>
      </c>
    </row>
    <row r="1744" spans="1:6" x14ac:dyDescent="0.75">
      <c r="A1744">
        <v>2022</v>
      </c>
      <c r="B1744" t="s">
        <v>57</v>
      </c>
      <c r="C1744" t="s">
        <v>17</v>
      </c>
      <c r="D1744" s="1">
        <v>9912</v>
      </c>
      <c r="E1744" s="1">
        <v>66736</v>
      </c>
      <c r="F1744" s="2">
        <v>55405</v>
      </c>
    </row>
    <row r="1745" spans="1:6" x14ac:dyDescent="0.75">
      <c r="A1745">
        <v>2022</v>
      </c>
      <c r="B1745" t="s">
        <v>57</v>
      </c>
      <c r="C1745" t="s">
        <v>18</v>
      </c>
      <c r="D1745" s="1">
        <v>42175</v>
      </c>
      <c r="E1745" s="1">
        <v>443764</v>
      </c>
      <c r="F1745" s="2">
        <v>77259</v>
      </c>
    </row>
    <row r="1746" spans="1:6" x14ac:dyDescent="0.75">
      <c r="A1746">
        <v>2022</v>
      </c>
      <c r="B1746" t="s">
        <v>57</v>
      </c>
      <c r="C1746" t="s">
        <v>19</v>
      </c>
      <c r="D1746" s="1">
        <v>47186</v>
      </c>
      <c r="E1746" s="1">
        <v>566190</v>
      </c>
      <c r="F1746" s="2">
        <v>102580</v>
      </c>
    </row>
    <row r="1747" spans="1:6" x14ac:dyDescent="0.75">
      <c r="A1747">
        <v>2022</v>
      </c>
      <c r="B1747" t="s">
        <v>57</v>
      </c>
      <c r="C1747" t="s">
        <v>20</v>
      </c>
      <c r="D1747" s="1">
        <v>42271</v>
      </c>
      <c r="E1747" s="1">
        <v>645279</v>
      </c>
      <c r="F1747" s="2">
        <v>68677</v>
      </c>
    </row>
    <row r="1748" spans="1:6" x14ac:dyDescent="0.75">
      <c r="A1748">
        <v>2022</v>
      </c>
      <c r="B1748" t="s">
        <v>57</v>
      </c>
      <c r="C1748" t="s">
        <v>21</v>
      </c>
      <c r="D1748" s="1">
        <v>29916</v>
      </c>
      <c r="E1748" s="1">
        <v>373603</v>
      </c>
      <c r="F1748" s="2">
        <v>80794</v>
      </c>
    </row>
    <row r="1749" spans="1:6" x14ac:dyDescent="0.75">
      <c r="A1749">
        <v>2022</v>
      </c>
      <c r="B1749" t="s">
        <v>57</v>
      </c>
      <c r="C1749" t="s">
        <v>22</v>
      </c>
      <c r="D1749" s="1">
        <v>11953</v>
      </c>
      <c r="E1749" s="1">
        <v>107737</v>
      </c>
      <c r="F1749" s="2">
        <v>41461</v>
      </c>
    </row>
    <row r="1750" spans="1:6" x14ac:dyDescent="0.75">
      <c r="A1750">
        <v>2022</v>
      </c>
      <c r="B1750" t="s">
        <v>57</v>
      </c>
      <c r="C1750" t="s">
        <v>23</v>
      </c>
      <c r="D1750" s="1">
        <v>33699</v>
      </c>
      <c r="E1750" s="1">
        <v>381525</v>
      </c>
      <c r="F1750" s="2">
        <v>63932</v>
      </c>
    </row>
    <row r="1751" spans="1:6" x14ac:dyDescent="0.75">
      <c r="A1751">
        <v>2022</v>
      </c>
      <c r="B1751" t="s">
        <v>57</v>
      </c>
      <c r="C1751" t="s">
        <v>24</v>
      </c>
      <c r="D1751" s="1">
        <v>8994</v>
      </c>
      <c r="E1751" s="1">
        <v>41010</v>
      </c>
      <c r="F1751" s="2">
        <v>50921</v>
      </c>
    </row>
    <row r="1752" spans="1:6" x14ac:dyDescent="0.75">
      <c r="A1752">
        <v>2022</v>
      </c>
      <c r="B1752" t="s">
        <v>57</v>
      </c>
      <c r="C1752" t="s">
        <v>25</v>
      </c>
      <c r="D1752" s="1">
        <v>11395</v>
      </c>
      <c r="E1752" s="1">
        <v>117542</v>
      </c>
      <c r="F1752" s="2">
        <v>59204</v>
      </c>
    </row>
    <row r="1753" spans="1:6" x14ac:dyDescent="0.75">
      <c r="A1753">
        <v>2022</v>
      </c>
      <c r="B1753" t="s">
        <v>57</v>
      </c>
      <c r="C1753" t="s">
        <v>26</v>
      </c>
      <c r="D1753" s="1">
        <v>19521</v>
      </c>
      <c r="E1753" s="1">
        <v>181485</v>
      </c>
      <c r="F1753" s="2">
        <v>58283</v>
      </c>
    </row>
    <row r="1754" spans="1:6" x14ac:dyDescent="0.75">
      <c r="A1754">
        <v>2022</v>
      </c>
      <c r="B1754" t="s">
        <v>57</v>
      </c>
      <c r="C1754" t="s">
        <v>27</v>
      </c>
      <c r="D1754" s="1">
        <v>11938</v>
      </c>
      <c r="E1754" s="1">
        <v>81761</v>
      </c>
      <c r="F1754" s="2">
        <v>75584</v>
      </c>
    </row>
    <row r="1755" spans="1:6" x14ac:dyDescent="0.75">
      <c r="A1755">
        <v>2022</v>
      </c>
      <c r="B1755" t="s">
        <v>57</v>
      </c>
      <c r="C1755" t="s">
        <v>28</v>
      </c>
      <c r="D1755" s="1">
        <v>50907</v>
      </c>
      <c r="E1755" s="1">
        <v>663584</v>
      </c>
      <c r="F1755" s="2">
        <v>88404</v>
      </c>
    </row>
    <row r="1756" spans="1:6" x14ac:dyDescent="0.75">
      <c r="A1756">
        <v>2022</v>
      </c>
      <c r="B1756" t="s">
        <v>57</v>
      </c>
      <c r="C1756" t="s">
        <v>29</v>
      </c>
      <c r="D1756" s="1">
        <v>10062</v>
      </c>
      <c r="E1756" s="1">
        <v>104434</v>
      </c>
      <c r="F1756" s="2">
        <v>60086</v>
      </c>
    </row>
    <row r="1757" spans="1:6" x14ac:dyDescent="0.75">
      <c r="A1757">
        <v>2022</v>
      </c>
      <c r="B1757" t="s">
        <v>57</v>
      </c>
      <c r="C1757" t="s">
        <v>30</v>
      </c>
      <c r="D1757" s="1">
        <v>111646</v>
      </c>
      <c r="E1757" s="1">
        <v>1314408</v>
      </c>
      <c r="F1757" s="2">
        <v>92549</v>
      </c>
    </row>
    <row r="1758" spans="1:6" x14ac:dyDescent="0.75">
      <c r="A1758">
        <v>2022</v>
      </c>
      <c r="B1758" t="s">
        <v>57</v>
      </c>
      <c r="C1758" t="s">
        <v>31</v>
      </c>
      <c r="D1758" s="1">
        <v>57179</v>
      </c>
      <c r="E1758" s="1">
        <v>616193</v>
      </c>
      <c r="F1758" s="2">
        <v>62617</v>
      </c>
    </row>
    <row r="1759" spans="1:6" x14ac:dyDescent="0.75">
      <c r="A1759">
        <v>2022</v>
      </c>
      <c r="B1759" t="s">
        <v>57</v>
      </c>
      <c r="C1759" t="s">
        <v>32</v>
      </c>
      <c r="D1759" s="1">
        <v>4917</v>
      </c>
      <c r="E1759" s="1">
        <v>34300</v>
      </c>
      <c r="F1759" s="2">
        <v>59438</v>
      </c>
    </row>
    <row r="1760" spans="1:6" x14ac:dyDescent="0.75">
      <c r="A1760">
        <v>2022</v>
      </c>
      <c r="B1760" t="s">
        <v>57</v>
      </c>
      <c r="C1760" t="s">
        <v>33</v>
      </c>
      <c r="D1760" s="1">
        <v>52650</v>
      </c>
      <c r="E1760" s="1">
        <v>724748</v>
      </c>
      <c r="F1760" s="2">
        <v>62445</v>
      </c>
    </row>
    <row r="1761" spans="1:6" x14ac:dyDescent="0.75">
      <c r="A1761">
        <v>2022</v>
      </c>
      <c r="B1761" t="s">
        <v>57</v>
      </c>
      <c r="C1761" t="s">
        <v>34</v>
      </c>
      <c r="D1761" s="1">
        <v>20434</v>
      </c>
      <c r="E1761" s="1">
        <v>185534</v>
      </c>
      <c r="F1761" s="2">
        <v>50640</v>
      </c>
    </row>
    <row r="1762" spans="1:6" x14ac:dyDescent="0.75">
      <c r="A1762">
        <v>2022</v>
      </c>
      <c r="B1762" t="s">
        <v>57</v>
      </c>
      <c r="C1762" t="s">
        <v>35</v>
      </c>
      <c r="D1762" s="1">
        <v>24942</v>
      </c>
      <c r="E1762" s="1">
        <v>242708</v>
      </c>
      <c r="F1762" s="2">
        <v>67873</v>
      </c>
    </row>
    <row r="1763" spans="1:6" x14ac:dyDescent="0.75">
      <c r="A1763">
        <v>2022</v>
      </c>
      <c r="B1763" t="s">
        <v>57</v>
      </c>
      <c r="C1763" t="s">
        <v>36</v>
      </c>
      <c r="D1763" s="1">
        <v>61779</v>
      </c>
      <c r="E1763" s="1">
        <v>799939</v>
      </c>
      <c r="F1763" s="2">
        <v>76029</v>
      </c>
    </row>
    <row r="1764" spans="1:6" x14ac:dyDescent="0.75">
      <c r="A1764">
        <v>2022</v>
      </c>
      <c r="B1764" t="s">
        <v>57</v>
      </c>
      <c r="C1764" t="s">
        <v>37</v>
      </c>
      <c r="D1764" s="1">
        <v>8350</v>
      </c>
      <c r="E1764" s="1">
        <v>67366</v>
      </c>
      <c r="F1764" s="2">
        <v>67763</v>
      </c>
    </row>
    <row r="1765" spans="1:6" x14ac:dyDescent="0.75">
      <c r="A1765">
        <v>2022</v>
      </c>
      <c r="B1765" t="s">
        <v>57</v>
      </c>
      <c r="C1765" t="s">
        <v>38</v>
      </c>
      <c r="D1765" s="1">
        <v>25902</v>
      </c>
      <c r="E1765" s="1">
        <v>280711</v>
      </c>
      <c r="F1765" s="2">
        <v>49505</v>
      </c>
    </row>
    <row r="1766" spans="1:6" x14ac:dyDescent="0.75">
      <c r="A1766">
        <v>2022</v>
      </c>
      <c r="B1766" t="s">
        <v>57</v>
      </c>
      <c r="C1766" t="s">
        <v>39</v>
      </c>
      <c r="D1766" s="1">
        <v>5030</v>
      </c>
      <c r="E1766" s="1">
        <v>31264</v>
      </c>
      <c r="F1766" s="2">
        <v>55293</v>
      </c>
    </row>
    <row r="1767" spans="1:6" x14ac:dyDescent="0.75">
      <c r="A1767">
        <v>2022</v>
      </c>
      <c r="B1767" t="s">
        <v>57</v>
      </c>
      <c r="C1767" t="s">
        <v>40</v>
      </c>
      <c r="D1767" s="1">
        <v>28315</v>
      </c>
      <c r="E1767" s="1">
        <v>407133</v>
      </c>
      <c r="F1767" s="2">
        <v>56172</v>
      </c>
    </row>
    <row r="1768" spans="1:6" x14ac:dyDescent="0.75">
      <c r="A1768">
        <v>2022</v>
      </c>
      <c r="B1768" t="s">
        <v>57</v>
      </c>
      <c r="C1768" t="s">
        <v>41</v>
      </c>
      <c r="D1768" s="1">
        <v>129242</v>
      </c>
      <c r="E1768" s="1">
        <v>1666865</v>
      </c>
      <c r="F1768" s="2">
        <v>71507</v>
      </c>
    </row>
    <row r="1769" spans="1:6" x14ac:dyDescent="0.75">
      <c r="A1769">
        <v>2022</v>
      </c>
      <c r="B1769" t="s">
        <v>57</v>
      </c>
      <c r="C1769" t="s">
        <v>42</v>
      </c>
      <c r="D1769" s="1">
        <v>21911</v>
      </c>
      <c r="E1769" s="1">
        <v>205052</v>
      </c>
      <c r="F1769" s="2">
        <v>56815</v>
      </c>
    </row>
    <row r="1770" spans="1:6" x14ac:dyDescent="0.75">
      <c r="A1770">
        <v>2022</v>
      </c>
      <c r="B1770" t="s">
        <v>57</v>
      </c>
      <c r="C1770" t="s">
        <v>43</v>
      </c>
      <c r="D1770" s="1">
        <v>5488</v>
      </c>
      <c r="E1770" s="1">
        <v>28484</v>
      </c>
      <c r="F1770" s="2">
        <v>63457</v>
      </c>
    </row>
    <row r="1771" spans="1:6" x14ac:dyDescent="0.75">
      <c r="A1771">
        <v>2022</v>
      </c>
      <c r="B1771" t="s">
        <v>57</v>
      </c>
      <c r="C1771" t="s">
        <v>44</v>
      </c>
      <c r="D1771" s="1">
        <v>57146</v>
      </c>
      <c r="E1771" s="1">
        <v>725936</v>
      </c>
      <c r="F1771" s="2">
        <v>84971</v>
      </c>
    </row>
    <row r="1772" spans="1:6" x14ac:dyDescent="0.75">
      <c r="A1772">
        <v>2022</v>
      </c>
      <c r="B1772" t="s">
        <v>57</v>
      </c>
      <c r="C1772" t="s">
        <v>45</v>
      </c>
      <c r="D1772" s="1">
        <v>39177</v>
      </c>
      <c r="E1772" s="1">
        <v>404782</v>
      </c>
      <c r="F1772" s="2">
        <v>76348</v>
      </c>
    </row>
    <row r="1773" spans="1:6" x14ac:dyDescent="0.75">
      <c r="A1773">
        <v>2022</v>
      </c>
      <c r="B1773" t="s">
        <v>57</v>
      </c>
      <c r="C1773" t="s">
        <v>46</v>
      </c>
      <c r="D1773" s="1">
        <v>8077</v>
      </c>
      <c r="E1773" s="1">
        <v>66420</v>
      </c>
      <c r="F1773" s="2">
        <v>48213</v>
      </c>
    </row>
    <row r="1774" spans="1:6" x14ac:dyDescent="0.75">
      <c r="A1774">
        <v>2022</v>
      </c>
      <c r="B1774" t="s">
        <v>57</v>
      </c>
      <c r="C1774" t="s">
        <v>47</v>
      </c>
      <c r="D1774" s="1">
        <v>23769</v>
      </c>
      <c r="E1774" s="1">
        <v>324012</v>
      </c>
      <c r="F1774" s="2">
        <v>57868</v>
      </c>
    </row>
    <row r="1775" spans="1:6" x14ac:dyDescent="0.75">
      <c r="A1775">
        <v>2022</v>
      </c>
      <c r="B1775" t="s">
        <v>57</v>
      </c>
      <c r="C1775" t="s">
        <v>48</v>
      </c>
      <c r="D1775" s="1">
        <v>4417</v>
      </c>
      <c r="E1775" s="1">
        <v>18050</v>
      </c>
      <c r="F1775" s="2">
        <v>50226</v>
      </c>
    </row>
    <row r="1776" spans="1:6" x14ac:dyDescent="0.75">
      <c r="A1776">
        <v>2022</v>
      </c>
      <c r="B1776" t="s">
        <v>58</v>
      </c>
      <c r="C1776" t="s">
        <v>1</v>
      </c>
      <c r="D1776" s="1">
        <v>12429</v>
      </c>
      <c r="E1776" s="1">
        <v>229821</v>
      </c>
      <c r="F1776" s="2">
        <v>45641</v>
      </c>
    </row>
    <row r="1777" spans="1:6" x14ac:dyDescent="0.75">
      <c r="A1777">
        <v>2022</v>
      </c>
      <c r="B1777" t="s">
        <v>58</v>
      </c>
      <c r="C1777" t="s">
        <v>2</v>
      </c>
      <c r="D1777" s="1">
        <v>16509</v>
      </c>
      <c r="E1777" s="1">
        <v>420129</v>
      </c>
      <c r="F1777" s="2">
        <v>50240</v>
      </c>
    </row>
    <row r="1778" spans="1:6" x14ac:dyDescent="0.75">
      <c r="A1778">
        <v>2022</v>
      </c>
      <c r="B1778" t="s">
        <v>58</v>
      </c>
      <c r="C1778" t="s">
        <v>3</v>
      </c>
      <c r="D1778" s="1">
        <v>15762</v>
      </c>
      <c r="E1778" s="1">
        <v>183433</v>
      </c>
      <c r="F1778" s="2">
        <v>41521</v>
      </c>
    </row>
    <row r="1779" spans="1:6" x14ac:dyDescent="0.75">
      <c r="A1779">
        <v>2022</v>
      </c>
      <c r="B1779" t="s">
        <v>58</v>
      </c>
      <c r="C1779" t="s">
        <v>4</v>
      </c>
      <c r="D1779" s="1">
        <v>593987</v>
      </c>
      <c r="E1779" s="1">
        <v>2560907</v>
      </c>
      <c r="F1779" s="2">
        <v>50766</v>
      </c>
    </row>
    <row r="1780" spans="1:6" x14ac:dyDescent="0.75">
      <c r="A1780">
        <v>2022</v>
      </c>
      <c r="B1780" t="s">
        <v>58</v>
      </c>
      <c r="C1780" t="s">
        <v>5</v>
      </c>
      <c r="D1780" s="1">
        <v>21356</v>
      </c>
      <c r="E1780" s="1">
        <v>328843</v>
      </c>
      <c r="F1780" s="2">
        <v>48754</v>
      </c>
    </row>
    <row r="1781" spans="1:6" x14ac:dyDescent="0.75">
      <c r="A1781">
        <v>2022</v>
      </c>
      <c r="B1781" t="s">
        <v>58</v>
      </c>
      <c r="C1781" t="s">
        <v>6</v>
      </c>
      <c r="D1781" s="1">
        <v>12701</v>
      </c>
      <c r="E1781" s="1">
        <v>325348</v>
      </c>
      <c r="F1781" s="2">
        <v>53993</v>
      </c>
    </row>
    <row r="1782" spans="1:6" x14ac:dyDescent="0.75">
      <c r="A1782">
        <v>2022</v>
      </c>
      <c r="B1782" t="s">
        <v>58</v>
      </c>
      <c r="C1782" t="s">
        <v>7</v>
      </c>
      <c r="D1782" s="1">
        <v>4626</v>
      </c>
      <c r="E1782" s="1">
        <v>73879</v>
      </c>
      <c r="F1782" s="2">
        <v>53083</v>
      </c>
    </row>
    <row r="1783" spans="1:6" x14ac:dyDescent="0.75">
      <c r="A1783">
        <v>2022</v>
      </c>
      <c r="B1783" t="s">
        <v>58</v>
      </c>
      <c r="C1783" t="s">
        <v>8</v>
      </c>
      <c r="D1783" s="1">
        <v>71929</v>
      </c>
      <c r="E1783" s="1">
        <v>1258710</v>
      </c>
      <c r="F1783" s="2">
        <v>49450</v>
      </c>
    </row>
    <row r="1784" spans="1:6" x14ac:dyDescent="0.75">
      <c r="A1784">
        <v>2022</v>
      </c>
      <c r="B1784" t="s">
        <v>58</v>
      </c>
      <c r="C1784" t="s">
        <v>9</v>
      </c>
      <c r="D1784" s="1">
        <v>28426</v>
      </c>
      <c r="E1784" s="1">
        <v>546707</v>
      </c>
      <c r="F1784" s="2">
        <v>50819</v>
      </c>
    </row>
    <row r="1785" spans="1:6" x14ac:dyDescent="0.75">
      <c r="A1785">
        <v>2022</v>
      </c>
      <c r="B1785" t="s">
        <v>58</v>
      </c>
      <c r="C1785" t="s">
        <v>10</v>
      </c>
      <c r="D1785" s="1">
        <v>7292</v>
      </c>
      <c r="E1785" s="1">
        <v>96246</v>
      </c>
      <c r="F1785" s="2">
        <v>40927</v>
      </c>
    </row>
    <row r="1786" spans="1:6" x14ac:dyDescent="0.75">
      <c r="A1786">
        <v>2022</v>
      </c>
      <c r="B1786" t="s">
        <v>58</v>
      </c>
      <c r="C1786" t="s">
        <v>11</v>
      </c>
      <c r="D1786" s="1">
        <v>34414</v>
      </c>
      <c r="E1786" s="1">
        <v>910288</v>
      </c>
      <c r="F1786" s="2">
        <v>49347</v>
      </c>
    </row>
    <row r="1787" spans="1:6" x14ac:dyDescent="0.75">
      <c r="A1787">
        <v>2022</v>
      </c>
      <c r="B1787" t="s">
        <v>58</v>
      </c>
      <c r="C1787" t="s">
        <v>12</v>
      </c>
      <c r="D1787" s="1">
        <v>15254</v>
      </c>
      <c r="E1787" s="1">
        <v>452646</v>
      </c>
      <c r="F1787" s="2">
        <v>46791</v>
      </c>
    </row>
    <row r="1788" spans="1:6" x14ac:dyDescent="0.75">
      <c r="A1788">
        <v>2022</v>
      </c>
      <c r="B1788" t="s">
        <v>58</v>
      </c>
      <c r="C1788" t="s">
        <v>13</v>
      </c>
      <c r="D1788" s="1">
        <v>11324</v>
      </c>
      <c r="E1788" s="1">
        <v>219362</v>
      </c>
      <c r="F1788" s="2">
        <v>42092</v>
      </c>
    </row>
    <row r="1789" spans="1:6" x14ac:dyDescent="0.75">
      <c r="A1789">
        <v>2022</v>
      </c>
      <c r="B1789" t="s">
        <v>58</v>
      </c>
      <c r="C1789" t="s">
        <v>14</v>
      </c>
      <c r="D1789" s="1">
        <v>10129</v>
      </c>
      <c r="E1789" s="1">
        <v>192638</v>
      </c>
      <c r="F1789" s="2">
        <v>41465</v>
      </c>
    </row>
    <row r="1790" spans="1:6" x14ac:dyDescent="0.75">
      <c r="A1790">
        <v>2022</v>
      </c>
      <c r="B1790" t="s">
        <v>58</v>
      </c>
      <c r="C1790" t="s">
        <v>15</v>
      </c>
      <c r="D1790" s="1">
        <v>17849</v>
      </c>
      <c r="E1790" s="1">
        <v>262151</v>
      </c>
      <c r="F1790" s="2">
        <v>47340</v>
      </c>
    </row>
    <row r="1791" spans="1:6" x14ac:dyDescent="0.75">
      <c r="A1791">
        <v>2022</v>
      </c>
      <c r="B1791" t="s">
        <v>58</v>
      </c>
      <c r="C1791" t="s">
        <v>16</v>
      </c>
      <c r="D1791" s="1">
        <v>15003</v>
      </c>
      <c r="E1791" s="1">
        <v>297694</v>
      </c>
      <c r="F1791" s="2">
        <v>42305</v>
      </c>
    </row>
    <row r="1792" spans="1:6" x14ac:dyDescent="0.75">
      <c r="A1792">
        <v>2022</v>
      </c>
      <c r="B1792" t="s">
        <v>58</v>
      </c>
      <c r="C1792" t="s">
        <v>17</v>
      </c>
      <c r="D1792" s="1">
        <v>6292</v>
      </c>
      <c r="E1792" s="1">
        <v>118412</v>
      </c>
      <c r="F1792" s="2">
        <v>45937</v>
      </c>
    </row>
    <row r="1793" spans="1:6" x14ac:dyDescent="0.75">
      <c r="A1793">
        <v>2022</v>
      </c>
      <c r="B1793" t="s">
        <v>58</v>
      </c>
      <c r="C1793" t="s">
        <v>18</v>
      </c>
      <c r="D1793" s="1">
        <v>20270</v>
      </c>
      <c r="E1793" s="1">
        <v>436185</v>
      </c>
      <c r="F1793" s="2">
        <v>53201</v>
      </c>
    </row>
    <row r="1794" spans="1:6" x14ac:dyDescent="0.75">
      <c r="A1794">
        <v>2022</v>
      </c>
      <c r="B1794" t="s">
        <v>58</v>
      </c>
      <c r="C1794" t="s">
        <v>19</v>
      </c>
      <c r="D1794" s="1">
        <v>61589</v>
      </c>
      <c r="E1794" s="1">
        <v>769824</v>
      </c>
      <c r="F1794" s="2">
        <v>57794</v>
      </c>
    </row>
    <row r="1795" spans="1:6" x14ac:dyDescent="0.75">
      <c r="A1795">
        <v>2022</v>
      </c>
      <c r="B1795" t="s">
        <v>58</v>
      </c>
      <c r="C1795" t="s">
        <v>20</v>
      </c>
      <c r="D1795" s="1">
        <v>24957</v>
      </c>
      <c r="E1795" s="1">
        <v>656020</v>
      </c>
      <c r="F1795" s="2">
        <v>48406</v>
      </c>
    </row>
    <row r="1796" spans="1:6" x14ac:dyDescent="0.75">
      <c r="A1796">
        <v>2022</v>
      </c>
      <c r="B1796" t="s">
        <v>58</v>
      </c>
      <c r="C1796" t="s">
        <v>21</v>
      </c>
      <c r="D1796" s="1">
        <v>17543</v>
      </c>
      <c r="E1796" s="1">
        <v>514711</v>
      </c>
      <c r="F1796" s="2">
        <v>49720</v>
      </c>
    </row>
    <row r="1797" spans="1:6" x14ac:dyDescent="0.75">
      <c r="A1797">
        <v>2022</v>
      </c>
      <c r="B1797" t="s">
        <v>58</v>
      </c>
      <c r="C1797" t="s">
        <v>22</v>
      </c>
      <c r="D1797" s="1">
        <v>7420</v>
      </c>
      <c r="E1797" s="1">
        <v>142412</v>
      </c>
      <c r="F1797" s="2">
        <v>40426</v>
      </c>
    </row>
    <row r="1798" spans="1:6" x14ac:dyDescent="0.75">
      <c r="A1798">
        <v>2022</v>
      </c>
      <c r="B1798" t="s">
        <v>58</v>
      </c>
      <c r="C1798" t="s">
        <v>23</v>
      </c>
      <c r="D1798" s="1">
        <v>48626</v>
      </c>
      <c r="E1798" s="1">
        <v>450671</v>
      </c>
      <c r="F1798" s="2">
        <v>44800</v>
      </c>
    </row>
    <row r="1799" spans="1:6" x14ac:dyDescent="0.75">
      <c r="A1799">
        <v>2022</v>
      </c>
      <c r="B1799" t="s">
        <v>58</v>
      </c>
      <c r="C1799" t="s">
        <v>24</v>
      </c>
      <c r="D1799" s="1">
        <v>4448</v>
      </c>
      <c r="E1799" s="1">
        <v>73262</v>
      </c>
      <c r="F1799" s="2">
        <v>46171</v>
      </c>
    </row>
    <row r="1800" spans="1:6" x14ac:dyDescent="0.75">
      <c r="A1800">
        <v>2022</v>
      </c>
      <c r="B1800" t="s">
        <v>58</v>
      </c>
      <c r="C1800" t="s">
        <v>25</v>
      </c>
      <c r="D1800" s="1">
        <v>13241</v>
      </c>
      <c r="E1800" s="1">
        <v>136970</v>
      </c>
      <c r="F1800" s="2">
        <v>44565</v>
      </c>
    </row>
    <row r="1801" spans="1:6" x14ac:dyDescent="0.75">
      <c r="A1801">
        <v>2022</v>
      </c>
      <c r="B1801" t="s">
        <v>58</v>
      </c>
      <c r="C1801" t="s">
        <v>26</v>
      </c>
      <c r="D1801" s="1">
        <v>8681</v>
      </c>
      <c r="E1801" s="1">
        <v>131756</v>
      </c>
      <c r="F1801" s="2">
        <v>53119</v>
      </c>
    </row>
    <row r="1802" spans="1:6" x14ac:dyDescent="0.75">
      <c r="A1802">
        <v>2022</v>
      </c>
      <c r="B1802" t="s">
        <v>58</v>
      </c>
      <c r="C1802" t="s">
        <v>27</v>
      </c>
      <c r="D1802" s="1">
        <v>4635</v>
      </c>
      <c r="E1802" s="1">
        <v>111212</v>
      </c>
      <c r="F1802" s="2">
        <v>54599</v>
      </c>
    </row>
    <row r="1803" spans="1:6" x14ac:dyDescent="0.75">
      <c r="A1803">
        <v>2022</v>
      </c>
      <c r="B1803" t="s">
        <v>58</v>
      </c>
      <c r="C1803" t="s">
        <v>28</v>
      </c>
      <c r="D1803" s="1">
        <v>33411</v>
      </c>
      <c r="E1803" s="1">
        <v>644049</v>
      </c>
      <c r="F1803" s="2">
        <v>52138</v>
      </c>
    </row>
    <row r="1804" spans="1:6" x14ac:dyDescent="0.75">
      <c r="A1804">
        <v>2022</v>
      </c>
      <c r="B1804" t="s">
        <v>58</v>
      </c>
      <c r="C1804" t="s">
        <v>29</v>
      </c>
      <c r="D1804" s="1">
        <v>9629</v>
      </c>
      <c r="E1804" s="1">
        <v>127804</v>
      </c>
      <c r="F1804" s="2">
        <v>40621</v>
      </c>
    </row>
    <row r="1805" spans="1:6" x14ac:dyDescent="0.75">
      <c r="A1805">
        <v>2022</v>
      </c>
      <c r="B1805" t="s">
        <v>58</v>
      </c>
      <c r="C1805" t="s">
        <v>30</v>
      </c>
      <c r="D1805" s="1">
        <v>67533</v>
      </c>
      <c r="E1805" s="1">
        <v>1847585</v>
      </c>
      <c r="F1805" s="2">
        <v>51932</v>
      </c>
    </row>
    <row r="1806" spans="1:6" x14ac:dyDescent="0.75">
      <c r="A1806">
        <v>2022</v>
      </c>
      <c r="B1806" t="s">
        <v>58</v>
      </c>
      <c r="C1806" t="s">
        <v>31</v>
      </c>
      <c r="D1806" s="1">
        <v>26885</v>
      </c>
      <c r="E1806" s="1">
        <v>578637</v>
      </c>
      <c r="F1806" s="2">
        <v>47135</v>
      </c>
    </row>
    <row r="1807" spans="1:6" x14ac:dyDescent="0.75">
      <c r="A1807">
        <v>2022</v>
      </c>
      <c r="B1807" t="s">
        <v>58</v>
      </c>
      <c r="C1807" t="s">
        <v>32</v>
      </c>
      <c r="D1807" s="1">
        <v>2484</v>
      </c>
      <c r="E1807" s="1">
        <v>61847</v>
      </c>
      <c r="F1807" s="2">
        <v>49915</v>
      </c>
    </row>
    <row r="1808" spans="1:6" x14ac:dyDescent="0.75">
      <c r="A1808">
        <v>2022</v>
      </c>
      <c r="B1808" t="s">
        <v>58</v>
      </c>
      <c r="C1808" t="s">
        <v>33</v>
      </c>
      <c r="D1808" s="1">
        <v>34090</v>
      </c>
      <c r="E1808" s="1">
        <v>897244</v>
      </c>
      <c r="F1808" s="2">
        <v>45314</v>
      </c>
    </row>
    <row r="1809" spans="1:6" x14ac:dyDescent="0.75">
      <c r="A1809">
        <v>2022</v>
      </c>
      <c r="B1809" t="s">
        <v>58</v>
      </c>
      <c r="C1809" t="s">
        <v>34</v>
      </c>
      <c r="D1809" s="1">
        <v>13367</v>
      </c>
      <c r="E1809" s="1">
        <v>208934</v>
      </c>
      <c r="F1809" s="2">
        <v>44167</v>
      </c>
    </row>
    <row r="1810" spans="1:6" x14ac:dyDescent="0.75">
      <c r="A1810">
        <v>2022</v>
      </c>
      <c r="B1810" t="s">
        <v>58</v>
      </c>
      <c r="C1810" t="s">
        <v>35</v>
      </c>
      <c r="D1810" s="1">
        <v>15363</v>
      </c>
      <c r="E1810" s="1">
        <v>266489</v>
      </c>
      <c r="F1810" s="2">
        <v>50908</v>
      </c>
    </row>
    <row r="1811" spans="1:6" x14ac:dyDescent="0.75">
      <c r="A1811">
        <v>2022</v>
      </c>
      <c r="B1811" t="s">
        <v>58</v>
      </c>
      <c r="C1811" t="s">
        <v>36</v>
      </c>
      <c r="D1811" s="1">
        <v>58709</v>
      </c>
      <c r="E1811" s="1">
        <v>1179271</v>
      </c>
      <c r="F1811" s="2">
        <v>50500</v>
      </c>
    </row>
    <row r="1812" spans="1:6" x14ac:dyDescent="0.75">
      <c r="A1812">
        <v>2022</v>
      </c>
      <c r="B1812" t="s">
        <v>58</v>
      </c>
      <c r="C1812" t="s">
        <v>37</v>
      </c>
      <c r="D1812" s="1">
        <v>4485</v>
      </c>
      <c r="E1812" s="1">
        <v>99581</v>
      </c>
      <c r="F1812" s="2">
        <v>47941</v>
      </c>
    </row>
    <row r="1813" spans="1:6" x14ac:dyDescent="0.75">
      <c r="A1813">
        <v>2022</v>
      </c>
      <c r="B1813" t="s">
        <v>58</v>
      </c>
      <c r="C1813" t="s">
        <v>38</v>
      </c>
      <c r="D1813" s="1">
        <v>11574</v>
      </c>
      <c r="E1813" s="1">
        <v>226255</v>
      </c>
      <c r="F1813" s="2">
        <v>45624</v>
      </c>
    </row>
    <row r="1814" spans="1:6" x14ac:dyDescent="0.75">
      <c r="A1814">
        <v>2022</v>
      </c>
      <c r="B1814" t="s">
        <v>58</v>
      </c>
      <c r="C1814" t="s">
        <v>39</v>
      </c>
      <c r="D1814" s="1">
        <v>2732</v>
      </c>
      <c r="E1814" s="1">
        <v>66629</v>
      </c>
      <c r="F1814" s="2">
        <v>49512</v>
      </c>
    </row>
    <row r="1815" spans="1:6" x14ac:dyDescent="0.75">
      <c r="A1815">
        <v>2022</v>
      </c>
      <c r="B1815" t="s">
        <v>58</v>
      </c>
      <c r="C1815" t="s">
        <v>40</v>
      </c>
      <c r="D1815" s="1">
        <v>15761</v>
      </c>
      <c r="E1815" s="1">
        <v>416511</v>
      </c>
      <c r="F1815" s="2">
        <v>50938</v>
      </c>
    </row>
    <row r="1816" spans="1:6" x14ac:dyDescent="0.75">
      <c r="A1816">
        <v>2022</v>
      </c>
      <c r="B1816" t="s">
        <v>58</v>
      </c>
      <c r="C1816" t="s">
        <v>41</v>
      </c>
      <c r="D1816" s="1">
        <v>87635</v>
      </c>
      <c r="E1816" s="1">
        <v>1607487</v>
      </c>
      <c r="F1816" s="2">
        <v>47096</v>
      </c>
    </row>
    <row r="1817" spans="1:6" x14ac:dyDescent="0.75">
      <c r="A1817">
        <v>2022</v>
      </c>
      <c r="B1817" t="s">
        <v>58</v>
      </c>
      <c r="C1817" t="s">
        <v>42</v>
      </c>
      <c r="D1817" s="1">
        <v>11679</v>
      </c>
      <c r="E1817" s="1">
        <v>181402</v>
      </c>
      <c r="F1817" s="2">
        <v>42492</v>
      </c>
    </row>
    <row r="1818" spans="1:6" x14ac:dyDescent="0.75">
      <c r="A1818">
        <v>2022</v>
      </c>
      <c r="B1818" t="s">
        <v>58</v>
      </c>
      <c r="C1818" t="s">
        <v>43</v>
      </c>
      <c r="D1818" s="1">
        <v>2460</v>
      </c>
      <c r="E1818" s="1">
        <v>62109</v>
      </c>
      <c r="F1818" s="2">
        <v>45259</v>
      </c>
    </row>
    <row r="1819" spans="1:6" x14ac:dyDescent="0.75">
      <c r="A1819">
        <v>2022</v>
      </c>
      <c r="B1819" t="s">
        <v>58</v>
      </c>
      <c r="C1819" t="s">
        <v>44</v>
      </c>
      <c r="D1819" s="1">
        <v>42910</v>
      </c>
      <c r="E1819" s="1">
        <v>496944</v>
      </c>
      <c r="F1819" s="2">
        <v>48573</v>
      </c>
    </row>
    <row r="1820" spans="1:6" x14ac:dyDescent="0.75">
      <c r="A1820">
        <v>2022</v>
      </c>
      <c r="B1820" t="s">
        <v>58</v>
      </c>
      <c r="C1820" t="s">
        <v>45</v>
      </c>
      <c r="D1820" s="1">
        <v>56689</v>
      </c>
      <c r="E1820" s="1">
        <v>451563</v>
      </c>
      <c r="F1820" s="2">
        <v>49782</v>
      </c>
    </row>
    <row r="1821" spans="1:6" x14ac:dyDescent="0.75">
      <c r="A1821">
        <v>2022</v>
      </c>
      <c r="B1821" t="s">
        <v>58</v>
      </c>
      <c r="C1821" t="s">
        <v>46</v>
      </c>
      <c r="D1821" s="1">
        <v>5679</v>
      </c>
      <c r="E1821" s="1">
        <v>123772</v>
      </c>
      <c r="F1821" s="2">
        <v>44732</v>
      </c>
    </row>
    <row r="1822" spans="1:6" x14ac:dyDescent="0.75">
      <c r="A1822">
        <v>2022</v>
      </c>
      <c r="B1822" t="s">
        <v>58</v>
      </c>
      <c r="C1822" t="s">
        <v>47</v>
      </c>
      <c r="D1822" s="1">
        <v>25989</v>
      </c>
      <c r="E1822" s="1">
        <v>428367</v>
      </c>
      <c r="F1822" s="2">
        <v>47663</v>
      </c>
    </row>
    <row r="1823" spans="1:6" x14ac:dyDescent="0.75">
      <c r="A1823">
        <v>2022</v>
      </c>
      <c r="B1823" t="s">
        <v>58</v>
      </c>
      <c r="C1823" t="s">
        <v>48</v>
      </c>
      <c r="D1823" s="1">
        <v>3268</v>
      </c>
      <c r="E1823" s="1">
        <v>26479</v>
      </c>
      <c r="F1823" s="2">
        <v>41913</v>
      </c>
    </row>
    <row r="1824" spans="1:6" x14ac:dyDescent="0.75">
      <c r="A1824">
        <v>2022</v>
      </c>
      <c r="B1824" t="s">
        <v>59</v>
      </c>
      <c r="C1824" t="s">
        <v>1</v>
      </c>
      <c r="D1824" s="1">
        <v>10741</v>
      </c>
      <c r="E1824" s="1">
        <v>202336</v>
      </c>
      <c r="F1824" s="2">
        <v>16222</v>
      </c>
    </row>
    <row r="1825" spans="1:6" x14ac:dyDescent="0.75">
      <c r="A1825">
        <v>2022</v>
      </c>
      <c r="B1825" t="s">
        <v>59</v>
      </c>
      <c r="C1825" t="s">
        <v>2</v>
      </c>
      <c r="D1825" s="1">
        <v>12771</v>
      </c>
      <c r="E1825" s="1">
        <v>317076</v>
      </c>
      <c r="F1825" s="2">
        <v>23505</v>
      </c>
    </row>
    <row r="1826" spans="1:6" x14ac:dyDescent="0.75">
      <c r="A1826">
        <v>2022</v>
      </c>
      <c r="B1826" t="s">
        <v>59</v>
      </c>
      <c r="C1826" t="s">
        <v>3</v>
      </c>
      <c r="D1826" s="1">
        <v>7024</v>
      </c>
      <c r="E1826" s="1">
        <v>116690</v>
      </c>
      <c r="F1826" s="2">
        <v>16181</v>
      </c>
    </row>
    <row r="1827" spans="1:6" x14ac:dyDescent="0.75">
      <c r="A1827">
        <v>2022</v>
      </c>
      <c r="B1827" t="s">
        <v>59</v>
      </c>
      <c r="C1827" t="s">
        <v>4</v>
      </c>
      <c r="D1827" s="1">
        <v>103495</v>
      </c>
      <c r="E1827" s="1">
        <v>1935980</v>
      </c>
      <c r="F1827" s="2">
        <v>29214</v>
      </c>
    </row>
    <row r="1828" spans="1:6" x14ac:dyDescent="0.75">
      <c r="A1828">
        <v>2022</v>
      </c>
      <c r="B1828" t="s">
        <v>59</v>
      </c>
      <c r="C1828" t="s">
        <v>5</v>
      </c>
      <c r="D1828" s="1">
        <v>16627</v>
      </c>
      <c r="E1828" s="1">
        <v>333190</v>
      </c>
      <c r="F1828" s="2">
        <v>24462</v>
      </c>
    </row>
    <row r="1829" spans="1:6" x14ac:dyDescent="0.75">
      <c r="A1829">
        <v>2022</v>
      </c>
      <c r="B1829" t="s">
        <v>59</v>
      </c>
      <c r="C1829" t="s">
        <v>6</v>
      </c>
      <c r="D1829" s="1">
        <v>10338</v>
      </c>
      <c r="E1829" s="1">
        <v>156514</v>
      </c>
      <c r="F1829" s="2">
        <v>23066</v>
      </c>
    </row>
    <row r="1830" spans="1:6" x14ac:dyDescent="0.75">
      <c r="A1830">
        <v>2022</v>
      </c>
      <c r="B1830" t="s">
        <v>59</v>
      </c>
      <c r="C1830" t="s">
        <v>7</v>
      </c>
      <c r="D1830" s="1">
        <v>2565</v>
      </c>
      <c r="E1830" s="1">
        <v>50272</v>
      </c>
      <c r="F1830" s="2">
        <v>19997</v>
      </c>
    </row>
    <row r="1831" spans="1:6" x14ac:dyDescent="0.75">
      <c r="A1831">
        <v>2022</v>
      </c>
      <c r="B1831" t="s">
        <v>59</v>
      </c>
      <c r="C1831" t="s">
        <v>8</v>
      </c>
      <c r="D1831" s="1">
        <v>55396</v>
      </c>
      <c r="E1831" s="1">
        <v>1198478</v>
      </c>
      <c r="F1831" s="2">
        <v>24953</v>
      </c>
    </row>
    <row r="1832" spans="1:6" x14ac:dyDescent="0.75">
      <c r="A1832">
        <v>2022</v>
      </c>
      <c r="B1832" t="s">
        <v>59</v>
      </c>
      <c r="C1832" t="s">
        <v>9</v>
      </c>
      <c r="D1832" s="1">
        <v>23538</v>
      </c>
      <c r="E1832" s="1">
        <v>476035</v>
      </c>
      <c r="F1832" s="2">
        <v>20142</v>
      </c>
    </row>
    <row r="1833" spans="1:6" x14ac:dyDescent="0.75">
      <c r="A1833">
        <v>2022</v>
      </c>
      <c r="B1833" t="s">
        <v>59</v>
      </c>
      <c r="C1833" t="s">
        <v>10</v>
      </c>
      <c r="D1833" s="1">
        <v>4906</v>
      </c>
      <c r="E1833" s="1">
        <v>74928</v>
      </c>
      <c r="F1833" s="2">
        <v>16382</v>
      </c>
    </row>
    <row r="1834" spans="1:6" x14ac:dyDescent="0.75">
      <c r="A1834">
        <v>2022</v>
      </c>
      <c r="B1834" t="s">
        <v>59</v>
      </c>
      <c r="C1834" t="s">
        <v>11</v>
      </c>
      <c r="D1834" s="1">
        <v>32076</v>
      </c>
      <c r="E1834" s="1">
        <v>610100</v>
      </c>
      <c r="F1834" s="2">
        <v>22930</v>
      </c>
    </row>
    <row r="1835" spans="1:6" x14ac:dyDescent="0.75">
      <c r="A1835">
        <v>2022</v>
      </c>
      <c r="B1835" t="s">
        <v>59</v>
      </c>
      <c r="C1835" t="s">
        <v>12</v>
      </c>
      <c r="D1835" s="1">
        <v>15273</v>
      </c>
      <c r="E1835" s="1">
        <v>308506</v>
      </c>
      <c r="F1835" s="2">
        <v>18223</v>
      </c>
    </row>
    <row r="1836" spans="1:6" x14ac:dyDescent="0.75">
      <c r="A1836">
        <v>2022</v>
      </c>
      <c r="B1836" t="s">
        <v>59</v>
      </c>
      <c r="C1836" t="s">
        <v>13</v>
      </c>
      <c r="D1836" s="1">
        <v>8532</v>
      </c>
      <c r="E1836" s="1">
        <v>143101</v>
      </c>
      <c r="F1836" s="2">
        <v>16280</v>
      </c>
    </row>
    <row r="1837" spans="1:6" x14ac:dyDescent="0.75">
      <c r="A1837">
        <v>2022</v>
      </c>
      <c r="B1837" t="s">
        <v>59</v>
      </c>
      <c r="C1837" t="s">
        <v>14</v>
      </c>
      <c r="D1837" s="1">
        <v>6839</v>
      </c>
      <c r="E1837" s="1">
        <v>128449</v>
      </c>
      <c r="F1837" s="2">
        <v>16257</v>
      </c>
    </row>
    <row r="1838" spans="1:6" x14ac:dyDescent="0.75">
      <c r="A1838">
        <v>2022</v>
      </c>
      <c r="B1838" t="s">
        <v>59</v>
      </c>
      <c r="C1838" t="s">
        <v>15</v>
      </c>
      <c r="D1838" s="1">
        <v>10063</v>
      </c>
      <c r="E1838" s="1">
        <v>196846</v>
      </c>
      <c r="F1838" s="2">
        <v>17160</v>
      </c>
    </row>
    <row r="1839" spans="1:6" x14ac:dyDescent="0.75">
      <c r="A1839">
        <v>2022</v>
      </c>
      <c r="B1839" t="s">
        <v>59</v>
      </c>
      <c r="C1839" t="s">
        <v>16</v>
      </c>
      <c r="D1839" s="1">
        <v>12015</v>
      </c>
      <c r="E1839" s="1">
        <v>233109</v>
      </c>
      <c r="F1839" s="2">
        <v>20623</v>
      </c>
    </row>
    <row r="1840" spans="1:6" x14ac:dyDescent="0.75">
      <c r="A1840">
        <v>2022</v>
      </c>
      <c r="B1840" t="s">
        <v>59</v>
      </c>
      <c r="C1840" t="s">
        <v>17</v>
      </c>
      <c r="D1840" s="1">
        <v>5119</v>
      </c>
      <c r="E1840" s="1">
        <v>67354</v>
      </c>
      <c r="F1840" s="2">
        <v>21119</v>
      </c>
    </row>
    <row r="1841" spans="1:6" x14ac:dyDescent="0.75">
      <c r="A1841">
        <v>2022</v>
      </c>
      <c r="B1841" t="s">
        <v>59</v>
      </c>
      <c r="C1841" t="s">
        <v>18</v>
      </c>
      <c r="D1841" s="1">
        <v>14733</v>
      </c>
      <c r="E1841" s="1">
        <v>280195</v>
      </c>
      <c r="F1841" s="2">
        <v>23436</v>
      </c>
    </row>
    <row r="1842" spans="1:6" x14ac:dyDescent="0.75">
      <c r="A1842">
        <v>2022</v>
      </c>
      <c r="B1842" t="s">
        <v>59</v>
      </c>
      <c r="C1842" t="s">
        <v>19</v>
      </c>
      <c r="D1842" s="1">
        <v>20695</v>
      </c>
      <c r="E1842" s="1">
        <v>369350</v>
      </c>
      <c r="F1842" s="2">
        <v>26779</v>
      </c>
    </row>
    <row r="1843" spans="1:6" x14ac:dyDescent="0.75">
      <c r="A1843">
        <v>2022</v>
      </c>
      <c r="B1843" t="s">
        <v>59</v>
      </c>
      <c r="C1843" t="s">
        <v>20</v>
      </c>
      <c r="D1843" s="1">
        <v>21783</v>
      </c>
      <c r="E1843" s="1">
        <v>431316</v>
      </c>
      <c r="F1843" s="2">
        <v>19834</v>
      </c>
    </row>
    <row r="1844" spans="1:6" x14ac:dyDescent="0.75">
      <c r="A1844">
        <v>2022</v>
      </c>
      <c r="B1844" t="s">
        <v>59</v>
      </c>
      <c r="C1844" t="s">
        <v>21</v>
      </c>
      <c r="D1844" s="1">
        <v>14729</v>
      </c>
      <c r="E1844" s="1">
        <v>270490</v>
      </c>
      <c r="F1844" s="2">
        <v>21386</v>
      </c>
    </row>
    <row r="1845" spans="1:6" x14ac:dyDescent="0.75">
      <c r="A1845">
        <v>2022</v>
      </c>
      <c r="B1845" t="s">
        <v>59</v>
      </c>
      <c r="C1845" t="s">
        <v>22</v>
      </c>
      <c r="D1845" s="1">
        <v>6381</v>
      </c>
      <c r="E1845" s="1">
        <v>134613</v>
      </c>
      <c r="F1845" s="2">
        <v>17011</v>
      </c>
    </row>
    <row r="1846" spans="1:6" x14ac:dyDescent="0.75">
      <c r="A1846">
        <v>2022</v>
      </c>
      <c r="B1846" t="s">
        <v>59</v>
      </c>
      <c r="C1846" t="s">
        <v>23</v>
      </c>
      <c r="D1846" s="1">
        <v>14797</v>
      </c>
      <c r="E1846" s="1">
        <v>303022</v>
      </c>
      <c r="F1846" s="2">
        <v>20276</v>
      </c>
    </row>
    <row r="1847" spans="1:6" x14ac:dyDescent="0.75">
      <c r="A1847">
        <v>2022</v>
      </c>
      <c r="B1847" t="s">
        <v>59</v>
      </c>
      <c r="C1847" t="s">
        <v>24</v>
      </c>
      <c r="D1847" s="1">
        <v>4978</v>
      </c>
      <c r="E1847" s="1">
        <v>64958</v>
      </c>
      <c r="F1847" s="2">
        <v>18625</v>
      </c>
    </row>
    <row r="1848" spans="1:6" x14ac:dyDescent="0.75">
      <c r="A1848">
        <v>2022</v>
      </c>
      <c r="B1848" t="s">
        <v>59</v>
      </c>
      <c r="C1848" t="s">
        <v>25</v>
      </c>
      <c r="D1848" s="1">
        <v>5508</v>
      </c>
      <c r="E1848" s="1">
        <v>91776</v>
      </c>
      <c r="F1848" s="2">
        <v>16253</v>
      </c>
    </row>
    <row r="1849" spans="1:6" x14ac:dyDescent="0.75">
      <c r="A1849">
        <v>2022</v>
      </c>
      <c r="B1849" t="s">
        <v>59</v>
      </c>
      <c r="C1849" t="s">
        <v>26</v>
      </c>
      <c r="D1849" s="1">
        <v>8246</v>
      </c>
      <c r="E1849" s="1">
        <v>348888</v>
      </c>
      <c r="F1849" s="2">
        <v>33048</v>
      </c>
    </row>
    <row r="1850" spans="1:6" x14ac:dyDescent="0.75">
      <c r="A1850">
        <v>2022</v>
      </c>
      <c r="B1850" t="s">
        <v>59</v>
      </c>
      <c r="C1850" t="s">
        <v>27</v>
      </c>
      <c r="D1850" s="1">
        <v>4512</v>
      </c>
      <c r="E1850" s="1">
        <v>70729</v>
      </c>
      <c r="F1850" s="2">
        <v>21058</v>
      </c>
    </row>
    <row r="1851" spans="1:6" x14ac:dyDescent="0.75">
      <c r="A1851">
        <v>2022</v>
      </c>
      <c r="B1851" t="s">
        <v>59</v>
      </c>
      <c r="C1851" t="s">
        <v>28</v>
      </c>
      <c r="D1851" s="1">
        <v>23501</v>
      </c>
      <c r="E1851" s="1">
        <v>372798</v>
      </c>
      <c r="F1851" s="2">
        <v>24851</v>
      </c>
    </row>
    <row r="1852" spans="1:6" x14ac:dyDescent="0.75">
      <c r="A1852">
        <v>2022</v>
      </c>
      <c r="B1852" t="s">
        <v>59</v>
      </c>
      <c r="C1852" t="s">
        <v>29</v>
      </c>
      <c r="D1852" s="1">
        <v>4929</v>
      </c>
      <c r="E1852" s="1">
        <v>96321</v>
      </c>
      <c r="F1852" s="2">
        <v>17901</v>
      </c>
    </row>
    <row r="1853" spans="1:6" x14ac:dyDescent="0.75">
      <c r="A1853">
        <v>2022</v>
      </c>
      <c r="B1853" t="s">
        <v>59</v>
      </c>
      <c r="C1853" t="s">
        <v>30</v>
      </c>
      <c r="D1853" s="1">
        <v>66166</v>
      </c>
      <c r="E1853" s="1">
        <v>944545</v>
      </c>
      <c r="F1853" s="2">
        <v>32365</v>
      </c>
    </row>
    <row r="1854" spans="1:6" x14ac:dyDescent="0.75">
      <c r="A1854">
        <v>2022</v>
      </c>
      <c r="B1854" t="s">
        <v>59</v>
      </c>
      <c r="C1854" t="s">
        <v>31</v>
      </c>
      <c r="D1854" s="1">
        <v>25235</v>
      </c>
      <c r="E1854" s="1">
        <v>493758</v>
      </c>
      <c r="F1854" s="2">
        <v>19111</v>
      </c>
    </row>
    <row r="1855" spans="1:6" x14ac:dyDescent="0.75">
      <c r="A1855">
        <v>2022</v>
      </c>
      <c r="B1855" t="s">
        <v>59</v>
      </c>
      <c r="C1855" t="s">
        <v>32</v>
      </c>
      <c r="D1855" s="1">
        <v>2600</v>
      </c>
      <c r="E1855" s="1">
        <v>39316</v>
      </c>
      <c r="F1855" s="2">
        <v>17400</v>
      </c>
    </row>
    <row r="1856" spans="1:6" x14ac:dyDescent="0.75">
      <c r="A1856">
        <v>2022</v>
      </c>
      <c r="B1856" t="s">
        <v>59</v>
      </c>
      <c r="C1856" t="s">
        <v>33</v>
      </c>
      <c r="D1856" s="1">
        <v>28218</v>
      </c>
      <c r="E1856" s="1">
        <v>560257</v>
      </c>
      <c r="F1856" s="2">
        <v>18856</v>
      </c>
    </row>
    <row r="1857" spans="1:6" x14ac:dyDescent="0.75">
      <c r="A1857">
        <v>2022</v>
      </c>
      <c r="B1857" t="s">
        <v>59</v>
      </c>
      <c r="C1857" t="s">
        <v>34</v>
      </c>
      <c r="D1857" s="1">
        <v>8969</v>
      </c>
      <c r="E1857" s="1">
        <v>167540</v>
      </c>
      <c r="F1857" s="2">
        <v>17729</v>
      </c>
    </row>
    <row r="1858" spans="1:6" x14ac:dyDescent="0.75">
      <c r="A1858">
        <v>2022</v>
      </c>
      <c r="B1858" t="s">
        <v>59</v>
      </c>
      <c r="C1858" t="s">
        <v>35</v>
      </c>
      <c r="D1858" s="1">
        <v>13588</v>
      </c>
      <c r="E1858" s="1">
        <v>205823</v>
      </c>
      <c r="F1858" s="2">
        <v>21379</v>
      </c>
    </row>
    <row r="1859" spans="1:6" x14ac:dyDescent="0.75">
      <c r="A1859">
        <v>2022</v>
      </c>
      <c r="B1859" t="s">
        <v>59</v>
      </c>
      <c r="C1859" t="s">
        <v>36</v>
      </c>
      <c r="D1859" s="1">
        <v>33146</v>
      </c>
      <c r="E1859" s="1">
        <v>566779</v>
      </c>
      <c r="F1859" s="2">
        <v>20389</v>
      </c>
    </row>
    <row r="1860" spans="1:6" x14ac:dyDescent="0.75">
      <c r="A1860">
        <v>2022</v>
      </c>
      <c r="B1860" t="s">
        <v>59</v>
      </c>
      <c r="C1860" t="s">
        <v>37</v>
      </c>
      <c r="D1860" s="1">
        <v>3683</v>
      </c>
      <c r="E1860" s="1">
        <v>58183</v>
      </c>
      <c r="F1860" s="2">
        <v>22353</v>
      </c>
    </row>
    <row r="1861" spans="1:6" x14ac:dyDescent="0.75">
      <c r="A1861">
        <v>2022</v>
      </c>
      <c r="B1861" t="s">
        <v>59</v>
      </c>
      <c r="C1861" t="s">
        <v>38</v>
      </c>
      <c r="D1861" s="1">
        <v>12337</v>
      </c>
      <c r="E1861" s="1">
        <v>254069</v>
      </c>
      <c r="F1861" s="2">
        <v>17885</v>
      </c>
    </row>
    <row r="1862" spans="1:6" x14ac:dyDescent="0.75">
      <c r="A1862">
        <v>2022</v>
      </c>
      <c r="B1862" t="s">
        <v>59</v>
      </c>
      <c r="C1862" t="s">
        <v>39</v>
      </c>
      <c r="D1862" s="1">
        <v>3109</v>
      </c>
      <c r="E1862" s="1">
        <v>46967</v>
      </c>
      <c r="F1862" s="2">
        <v>16460</v>
      </c>
    </row>
    <row r="1863" spans="1:6" x14ac:dyDescent="0.75">
      <c r="A1863">
        <v>2022</v>
      </c>
      <c r="B1863" t="s">
        <v>59</v>
      </c>
      <c r="C1863" t="s">
        <v>40</v>
      </c>
      <c r="D1863" s="1">
        <v>15932</v>
      </c>
      <c r="E1863" s="1">
        <v>328856</v>
      </c>
      <c r="F1863" s="2">
        <v>22398</v>
      </c>
    </row>
    <row r="1864" spans="1:6" x14ac:dyDescent="0.75">
      <c r="A1864">
        <v>2022</v>
      </c>
      <c r="B1864" t="s">
        <v>59</v>
      </c>
      <c r="C1864" t="s">
        <v>41</v>
      </c>
      <c r="D1864" s="1">
        <v>60744</v>
      </c>
      <c r="E1864" s="1">
        <v>1317762</v>
      </c>
      <c r="F1864" s="2">
        <v>21234</v>
      </c>
    </row>
    <row r="1865" spans="1:6" x14ac:dyDescent="0.75">
      <c r="A1865">
        <v>2022</v>
      </c>
      <c r="B1865" t="s">
        <v>59</v>
      </c>
      <c r="C1865" t="s">
        <v>42</v>
      </c>
      <c r="D1865" s="1">
        <v>7068</v>
      </c>
      <c r="E1865" s="1">
        <v>142985</v>
      </c>
      <c r="F1865" s="2">
        <v>19510</v>
      </c>
    </row>
    <row r="1866" spans="1:6" x14ac:dyDescent="0.75">
      <c r="A1866">
        <v>2022</v>
      </c>
      <c r="B1866" t="s">
        <v>59</v>
      </c>
      <c r="C1866" t="s">
        <v>43</v>
      </c>
      <c r="D1866" s="1">
        <v>2266</v>
      </c>
      <c r="E1866" s="1">
        <v>37337</v>
      </c>
      <c r="F1866" s="2">
        <v>22375</v>
      </c>
    </row>
    <row r="1867" spans="1:6" x14ac:dyDescent="0.75">
      <c r="A1867">
        <v>2022</v>
      </c>
      <c r="B1867" t="s">
        <v>59</v>
      </c>
      <c r="C1867" t="s">
        <v>44</v>
      </c>
      <c r="D1867" s="1">
        <v>20269</v>
      </c>
      <c r="E1867" s="1">
        <v>402475</v>
      </c>
      <c r="F1867" s="2">
        <v>20078</v>
      </c>
    </row>
    <row r="1868" spans="1:6" x14ac:dyDescent="0.75">
      <c r="A1868">
        <v>2022</v>
      </c>
      <c r="B1868" t="s">
        <v>59</v>
      </c>
      <c r="C1868" t="s">
        <v>45</v>
      </c>
      <c r="D1868" s="1">
        <v>20065</v>
      </c>
      <c r="E1868" s="1">
        <v>325141</v>
      </c>
      <c r="F1868" s="2">
        <v>24250</v>
      </c>
    </row>
    <row r="1869" spans="1:6" x14ac:dyDescent="0.75">
      <c r="A1869">
        <v>2022</v>
      </c>
      <c r="B1869" t="s">
        <v>59</v>
      </c>
      <c r="C1869" t="s">
        <v>46</v>
      </c>
      <c r="D1869" s="1">
        <v>4646</v>
      </c>
      <c r="E1869" s="1">
        <v>74275</v>
      </c>
      <c r="F1869" s="2">
        <v>17335</v>
      </c>
    </row>
    <row r="1870" spans="1:6" x14ac:dyDescent="0.75">
      <c r="A1870">
        <v>2022</v>
      </c>
      <c r="B1870" t="s">
        <v>59</v>
      </c>
      <c r="C1870" t="s">
        <v>47</v>
      </c>
      <c r="D1870" s="1">
        <v>16599</v>
      </c>
      <c r="E1870" s="1">
        <v>279749</v>
      </c>
      <c r="F1870" s="2">
        <v>17248</v>
      </c>
    </row>
    <row r="1871" spans="1:6" x14ac:dyDescent="0.75">
      <c r="A1871">
        <v>2022</v>
      </c>
      <c r="B1871" t="s">
        <v>59</v>
      </c>
      <c r="C1871" t="s">
        <v>48</v>
      </c>
      <c r="D1871" s="1">
        <v>2355</v>
      </c>
      <c r="E1871" s="1">
        <v>36297</v>
      </c>
      <c r="F1871" s="2">
        <v>19867</v>
      </c>
    </row>
    <row r="1872" spans="1:6" x14ac:dyDescent="0.75">
      <c r="A1872">
        <v>2022</v>
      </c>
      <c r="B1872" t="s">
        <v>60</v>
      </c>
      <c r="C1872" t="s">
        <v>1</v>
      </c>
      <c r="D1872" s="1">
        <v>9603</v>
      </c>
      <c r="E1872" s="1">
        <v>45296</v>
      </c>
      <c r="F1872" s="2">
        <v>36539</v>
      </c>
    </row>
    <row r="1873" spans="1:6" x14ac:dyDescent="0.75">
      <c r="A1873">
        <v>2022</v>
      </c>
      <c r="B1873" t="s">
        <v>60</v>
      </c>
      <c r="C1873" t="s">
        <v>2</v>
      </c>
      <c r="D1873" s="1">
        <v>10297</v>
      </c>
      <c r="E1873" s="1">
        <v>71320</v>
      </c>
      <c r="F1873" s="2">
        <v>37061</v>
      </c>
    </row>
    <row r="1874" spans="1:6" x14ac:dyDescent="0.75">
      <c r="A1874">
        <v>2022</v>
      </c>
      <c r="B1874" t="s">
        <v>60</v>
      </c>
      <c r="C1874" t="s">
        <v>3</v>
      </c>
      <c r="D1874" s="1">
        <v>5315</v>
      </c>
      <c r="E1874" s="1">
        <v>24804</v>
      </c>
      <c r="F1874" s="2">
        <v>33179</v>
      </c>
    </row>
    <row r="1875" spans="1:6" x14ac:dyDescent="0.75">
      <c r="A1875">
        <v>2022</v>
      </c>
      <c r="B1875" t="s">
        <v>60</v>
      </c>
      <c r="C1875" t="s">
        <v>4</v>
      </c>
      <c r="D1875" s="1">
        <v>88470</v>
      </c>
      <c r="E1875" s="1">
        <v>527915</v>
      </c>
      <c r="F1875" s="2">
        <v>40412</v>
      </c>
    </row>
    <row r="1876" spans="1:6" x14ac:dyDescent="0.75">
      <c r="A1876">
        <v>2022</v>
      </c>
      <c r="B1876" t="s">
        <v>60</v>
      </c>
      <c r="C1876" t="s">
        <v>5</v>
      </c>
      <c r="D1876" s="1">
        <v>15777</v>
      </c>
      <c r="E1876" s="1">
        <v>80034</v>
      </c>
      <c r="F1876" s="2">
        <v>39558</v>
      </c>
    </row>
    <row r="1877" spans="1:6" x14ac:dyDescent="0.75">
      <c r="A1877">
        <v>2022</v>
      </c>
      <c r="B1877" t="s">
        <v>60</v>
      </c>
      <c r="C1877" t="s">
        <v>6</v>
      </c>
      <c r="D1877" s="1">
        <v>16529</v>
      </c>
      <c r="E1877" s="1">
        <v>64279</v>
      </c>
      <c r="F1877" s="2">
        <v>33397</v>
      </c>
    </row>
    <row r="1878" spans="1:6" x14ac:dyDescent="0.75">
      <c r="A1878">
        <v>2022</v>
      </c>
      <c r="B1878" t="s">
        <v>60</v>
      </c>
      <c r="C1878" t="s">
        <v>7</v>
      </c>
      <c r="D1878" s="1">
        <v>2003</v>
      </c>
      <c r="E1878" s="1">
        <v>11881</v>
      </c>
      <c r="F1878" s="2">
        <v>33610</v>
      </c>
    </row>
    <row r="1879" spans="1:6" x14ac:dyDescent="0.75">
      <c r="A1879">
        <v>2022</v>
      </c>
      <c r="B1879" t="s">
        <v>60</v>
      </c>
      <c r="C1879" t="s">
        <v>8</v>
      </c>
      <c r="D1879" s="1">
        <v>54928</v>
      </c>
      <c r="E1879" s="1">
        <v>273903</v>
      </c>
      <c r="F1879" s="2">
        <v>35319</v>
      </c>
    </row>
    <row r="1880" spans="1:6" x14ac:dyDescent="0.75">
      <c r="A1880">
        <v>2022</v>
      </c>
      <c r="B1880" t="s">
        <v>60</v>
      </c>
      <c r="C1880" t="s">
        <v>9</v>
      </c>
      <c r="D1880" s="1">
        <v>18097</v>
      </c>
      <c r="E1880" s="1">
        <v>106445</v>
      </c>
      <c r="F1880" s="2">
        <v>35520</v>
      </c>
    </row>
    <row r="1881" spans="1:6" x14ac:dyDescent="0.75">
      <c r="A1881">
        <v>2022</v>
      </c>
      <c r="B1881" t="s">
        <v>60</v>
      </c>
      <c r="C1881" t="s">
        <v>10</v>
      </c>
      <c r="D1881" s="1">
        <v>3888</v>
      </c>
      <c r="E1881" s="1">
        <v>17915</v>
      </c>
      <c r="F1881" s="2">
        <v>30056</v>
      </c>
    </row>
    <row r="1882" spans="1:6" x14ac:dyDescent="0.75">
      <c r="A1882">
        <v>2022</v>
      </c>
      <c r="B1882" t="s">
        <v>60</v>
      </c>
      <c r="C1882" t="s">
        <v>11</v>
      </c>
      <c r="D1882" s="1">
        <v>39500</v>
      </c>
      <c r="E1882" s="1">
        <v>206494</v>
      </c>
      <c r="F1882" s="2">
        <v>41240</v>
      </c>
    </row>
    <row r="1883" spans="1:6" x14ac:dyDescent="0.75">
      <c r="A1883">
        <v>2022</v>
      </c>
      <c r="B1883" t="s">
        <v>60</v>
      </c>
      <c r="C1883" t="s">
        <v>12</v>
      </c>
      <c r="D1883" s="1">
        <v>13113</v>
      </c>
      <c r="E1883" s="1">
        <v>86944</v>
      </c>
      <c r="F1883" s="2">
        <v>31882</v>
      </c>
    </row>
    <row r="1884" spans="1:6" x14ac:dyDescent="0.75">
      <c r="A1884">
        <v>2022</v>
      </c>
      <c r="B1884" t="s">
        <v>60</v>
      </c>
      <c r="C1884" t="s">
        <v>13</v>
      </c>
      <c r="D1884" s="1">
        <v>8710</v>
      </c>
      <c r="E1884" s="1">
        <v>42498</v>
      </c>
      <c r="F1884" s="2">
        <v>33069</v>
      </c>
    </row>
    <row r="1885" spans="1:6" x14ac:dyDescent="0.75">
      <c r="A1885">
        <v>2022</v>
      </c>
      <c r="B1885" t="s">
        <v>60</v>
      </c>
      <c r="C1885" t="s">
        <v>14</v>
      </c>
      <c r="D1885" s="1">
        <v>6031</v>
      </c>
      <c r="E1885" s="1">
        <v>33578</v>
      </c>
      <c r="F1885" s="2">
        <v>33575</v>
      </c>
    </row>
    <row r="1886" spans="1:6" x14ac:dyDescent="0.75">
      <c r="A1886">
        <v>2022</v>
      </c>
      <c r="B1886" t="s">
        <v>60</v>
      </c>
      <c r="C1886" t="s">
        <v>15</v>
      </c>
      <c r="D1886" s="1">
        <v>10912</v>
      </c>
      <c r="E1886" s="1">
        <v>46382</v>
      </c>
      <c r="F1886" s="2">
        <v>32330</v>
      </c>
    </row>
    <row r="1887" spans="1:6" x14ac:dyDescent="0.75">
      <c r="A1887">
        <v>2022</v>
      </c>
      <c r="B1887" t="s">
        <v>60</v>
      </c>
      <c r="C1887" t="s">
        <v>16</v>
      </c>
      <c r="D1887" s="1">
        <v>9250</v>
      </c>
      <c r="E1887" s="1">
        <v>45963</v>
      </c>
      <c r="F1887" s="2">
        <v>36468</v>
      </c>
    </row>
    <row r="1888" spans="1:6" x14ac:dyDescent="0.75">
      <c r="A1888">
        <v>2022</v>
      </c>
      <c r="B1888" t="s">
        <v>60</v>
      </c>
      <c r="C1888" t="s">
        <v>17</v>
      </c>
      <c r="D1888" s="1">
        <v>4028</v>
      </c>
      <c r="E1888" s="1">
        <v>17774</v>
      </c>
      <c r="F1888" s="2">
        <v>32993</v>
      </c>
    </row>
    <row r="1889" spans="1:6" x14ac:dyDescent="0.75">
      <c r="A1889">
        <v>2022</v>
      </c>
      <c r="B1889" t="s">
        <v>60</v>
      </c>
      <c r="C1889" t="s">
        <v>18</v>
      </c>
      <c r="D1889" s="1">
        <v>19506</v>
      </c>
      <c r="E1889" s="1">
        <v>91492</v>
      </c>
      <c r="F1889" s="2">
        <v>41793</v>
      </c>
    </row>
    <row r="1890" spans="1:6" x14ac:dyDescent="0.75">
      <c r="A1890">
        <v>2022</v>
      </c>
      <c r="B1890" t="s">
        <v>60</v>
      </c>
      <c r="C1890" t="s">
        <v>19</v>
      </c>
      <c r="D1890" s="1">
        <v>21677</v>
      </c>
      <c r="E1890" s="1">
        <v>118160</v>
      </c>
      <c r="F1890" s="2">
        <v>37032</v>
      </c>
    </row>
    <row r="1891" spans="1:6" x14ac:dyDescent="0.75">
      <c r="A1891">
        <v>2022</v>
      </c>
      <c r="B1891" t="s">
        <v>60</v>
      </c>
      <c r="C1891" t="s">
        <v>20</v>
      </c>
      <c r="D1891" s="1">
        <v>29930</v>
      </c>
      <c r="E1891" s="1">
        <v>137568</v>
      </c>
      <c r="F1891" s="2">
        <v>32157</v>
      </c>
    </row>
    <row r="1892" spans="1:6" x14ac:dyDescent="0.75">
      <c r="A1892">
        <v>2022</v>
      </c>
      <c r="B1892" t="s">
        <v>60</v>
      </c>
      <c r="C1892" t="s">
        <v>21</v>
      </c>
      <c r="D1892" s="1">
        <v>16226</v>
      </c>
      <c r="E1892" s="1">
        <v>90138</v>
      </c>
      <c r="F1892" s="2">
        <v>33237</v>
      </c>
    </row>
    <row r="1893" spans="1:6" x14ac:dyDescent="0.75">
      <c r="A1893">
        <v>2022</v>
      </c>
      <c r="B1893" t="s">
        <v>60</v>
      </c>
      <c r="C1893" t="s">
        <v>22</v>
      </c>
      <c r="D1893" s="1">
        <v>4726</v>
      </c>
      <c r="E1893" s="1">
        <v>21154</v>
      </c>
      <c r="F1893" s="2">
        <v>33958</v>
      </c>
    </row>
    <row r="1894" spans="1:6" x14ac:dyDescent="0.75">
      <c r="A1894">
        <v>2022</v>
      </c>
      <c r="B1894" t="s">
        <v>60</v>
      </c>
      <c r="C1894" t="s">
        <v>23</v>
      </c>
      <c r="D1894" s="1">
        <v>13734</v>
      </c>
      <c r="E1894" s="1">
        <v>76037</v>
      </c>
      <c r="F1894" s="2">
        <v>32705</v>
      </c>
    </row>
    <row r="1895" spans="1:6" x14ac:dyDescent="0.75">
      <c r="A1895">
        <v>2022</v>
      </c>
      <c r="B1895" t="s">
        <v>60</v>
      </c>
      <c r="C1895" t="s">
        <v>24</v>
      </c>
      <c r="D1895" s="1">
        <v>4094</v>
      </c>
      <c r="E1895" s="1">
        <v>17909</v>
      </c>
      <c r="F1895" s="2">
        <v>29177</v>
      </c>
    </row>
    <row r="1896" spans="1:6" x14ac:dyDescent="0.75">
      <c r="A1896">
        <v>2022</v>
      </c>
      <c r="B1896" t="s">
        <v>60</v>
      </c>
      <c r="C1896" t="s">
        <v>25</v>
      </c>
      <c r="D1896" s="1">
        <v>4671</v>
      </c>
      <c r="E1896" s="1">
        <v>25082</v>
      </c>
      <c r="F1896" s="2">
        <v>31310</v>
      </c>
    </row>
    <row r="1897" spans="1:6" x14ac:dyDescent="0.75">
      <c r="A1897">
        <v>2022</v>
      </c>
      <c r="B1897" t="s">
        <v>60</v>
      </c>
      <c r="C1897" t="s">
        <v>26</v>
      </c>
      <c r="D1897" s="1">
        <v>4959</v>
      </c>
      <c r="E1897" s="1">
        <v>33667</v>
      </c>
      <c r="F1897" s="2">
        <v>36336</v>
      </c>
    </row>
    <row r="1898" spans="1:6" x14ac:dyDescent="0.75">
      <c r="A1898">
        <v>2022</v>
      </c>
      <c r="B1898" t="s">
        <v>60</v>
      </c>
      <c r="C1898" t="s">
        <v>27</v>
      </c>
      <c r="D1898" s="1">
        <v>3871</v>
      </c>
      <c r="E1898" s="1">
        <v>20493</v>
      </c>
      <c r="F1898" s="2">
        <v>36646</v>
      </c>
    </row>
    <row r="1899" spans="1:6" x14ac:dyDescent="0.75">
      <c r="A1899">
        <v>2022</v>
      </c>
      <c r="B1899" t="s">
        <v>60</v>
      </c>
      <c r="C1899" t="s">
        <v>28</v>
      </c>
      <c r="D1899" s="1">
        <v>25881</v>
      </c>
      <c r="E1899" s="1">
        <v>136480</v>
      </c>
      <c r="F1899" s="2">
        <v>35059</v>
      </c>
    </row>
    <row r="1900" spans="1:6" x14ac:dyDescent="0.75">
      <c r="A1900">
        <v>2022</v>
      </c>
      <c r="B1900" t="s">
        <v>60</v>
      </c>
      <c r="C1900" t="s">
        <v>29</v>
      </c>
      <c r="D1900" s="1">
        <v>3961</v>
      </c>
      <c r="E1900" s="1">
        <v>20593</v>
      </c>
      <c r="F1900" s="2">
        <v>32578</v>
      </c>
    </row>
    <row r="1901" spans="1:6" x14ac:dyDescent="0.75">
      <c r="A1901">
        <v>2022</v>
      </c>
      <c r="B1901" t="s">
        <v>60</v>
      </c>
      <c r="C1901" t="s">
        <v>30</v>
      </c>
      <c r="D1901" s="1">
        <v>74536</v>
      </c>
      <c r="E1901" s="1">
        <v>369805</v>
      </c>
      <c r="F1901" s="2">
        <v>40436</v>
      </c>
    </row>
    <row r="1902" spans="1:6" x14ac:dyDescent="0.75">
      <c r="A1902">
        <v>2022</v>
      </c>
      <c r="B1902" t="s">
        <v>60</v>
      </c>
      <c r="C1902" t="s">
        <v>31</v>
      </c>
      <c r="D1902" s="1">
        <v>23024</v>
      </c>
      <c r="E1902" s="1">
        <v>107404</v>
      </c>
      <c r="F1902" s="2">
        <v>33978</v>
      </c>
    </row>
    <row r="1903" spans="1:6" x14ac:dyDescent="0.75">
      <c r="A1903">
        <v>2022</v>
      </c>
      <c r="B1903" t="s">
        <v>60</v>
      </c>
      <c r="C1903" t="s">
        <v>32</v>
      </c>
      <c r="D1903" s="1">
        <v>2040</v>
      </c>
      <c r="E1903" s="1">
        <v>12231</v>
      </c>
      <c r="F1903" s="2">
        <v>34167</v>
      </c>
    </row>
    <row r="1904" spans="1:6" x14ac:dyDescent="0.75">
      <c r="A1904">
        <v>2022</v>
      </c>
      <c r="B1904" t="s">
        <v>60</v>
      </c>
      <c r="C1904" t="s">
        <v>33</v>
      </c>
      <c r="D1904" s="1">
        <v>23601</v>
      </c>
      <c r="E1904" s="1">
        <v>155257</v>
      </c>
      <c r="F1904" s="2">
        <v>33039</v>
      </c>
    </row>
    <row r="1905" spans="1:6" x14ac:dyDescent="0.75">
      <c r="A1905">
        <v>2022</v>
      </c>
      <c r="B1905" t="s">
        <v>60</v>
      </c>
      <c r="C1905" t="s">
        <v>34</v>
      </c>
      <c r="D1905" s="1">
        <v>6751</v>
      </c>
      <c r="E1905" s="1">
        <v>35772</v>
      </c>
      <c r="F1905" s="2">
        <v>34306</v>
      </c>
    </row>
    <row r="1906" spans="1:6" x14ac:dyDescent="0.75">
      <c r="A1906">
        <v>2022</v>
      </c>
      <c r="B1906" t="s">
        <v>60</v>
      </c>
      <c r="C1906" t="s">
        <v>35</v>
      </c>
      <c r="D1906" s="1">
        <v>22753</v>
      </c>
      <c r="E1906" s="1">
        <v>77028</v>
      </c>
      <c r="F1906" s="2">
        <v>31901</v>
      </c>
    </row>
    <row r="1907" spans="1:6" x14ac:dyDescent="0.75">
      <c r="A1907">
        <v>2022</v>
      </c>
      <c r="B1907" t="s">
        <v>60</v>
      </c>
      <c r="C1907" t="s">
        <v>36</v>
      </c>
      <c r="D1907" s="1">
        <v>32259</v>
      </c>
      <c r="E1907" s="1">
        <v>197527</v>
      </c>
      <c r="F1907" s="2">
        <v>32593</v>
      </c>
    </row>
    <row r="1908" spans="1:6" x14ac:dyDescent="0.75">
      <c r="A1908">
        <v>2022</v>
      </c>
      <c r="B1908" t="s">
        <v>60</v>
      </c>
      <c r="C1908" t="s">
        <v>37</v>
      </c>
      <c r="D1908" s="1">
        <v>3395</v>
      </c>
      <c r="E1908" s="1">
        <v>17959</v>
      </c>
      <c r="F1908" s="2">
        <v>32566</v>
      </c>
    </row>
    <row r="1909" spans="1:6" x14ac:dyDescent="0.75">
      <c r="A1909">
        <v>2022</v>
      </c>
      <c r="B1909" t="s">
        <v>60</v>
      </c>
      <c r="C1909" t="s">
        <v>38</v>
      </c>
      <c r="D1909" s="1">
        <v>11490</v>
      </c>
      <c r="E1909" s="1">
        <v>51779</v>
      </c>
      <c r="F1909" s="2">
        <v>32842</v>
      </c>
    </row>
    <row r="1910" spans="1:6" x14ac:dyDescent="0.75">
      <c r="A1910">
        <v>2022</v>
      </c>
      <c r="B1910" t="s">
        <v>60</v>
      </c>
      <c r="C1910" t="s">
        <v>39</v>
      </c>
      <c r="D1910" s="1">
        <v>2171</v>
      </c>
      <c r="E1910" s="1">
        <v>11078</v>
      </c>
      <c r="F1910" s="2">
        <v>31403</v>
      </c>
    </row>
    <row r="1911" spans="1:6" x14ac:dyDescent="0.75">
      <c r="A1911">
        <v>2022</v>
      </c>
      <c r="B1911" t="s">
        <v>60</v>
      </c>
      <c r="C1911" t="s">
        <v>40</v>
      </c>
      <c r="D1911" s="1">
        <v>14618</v>
      </c>
      <c r="E1911" s="1">
        <v>76045</v>
      </c>
      <c r="F1911" s="2">
        <v>34443</v>
      </c>
    </row>
    <row r="1912" spans="1:6" x14ac:dyDescent="0.75">
      <c r="A1912">
        <v>2022</v>
      </c>
      <c r="B1912" t="s">
        <v>60</v>
      </c>
      <c r="C1912" t="s">
        <v>41</v>
      </c>
      <c r="D1912" s="1">
        <v>56060</v>
      </c>
      <c r="E1912" s="1">
        <v>328026</v>
      </c>
      <c r="F1912" s="2">
        <v>37841</v>
      </c>
    </row>
    <row r="1913" spans="1:6" x14ac:dyDescent="0.75">
      <c r="A1913">
        <v>2022</v>
      </c>
      <c r="B1913" t="s">
        <v>60</v>
      </c>
      <c r="C1913" t="s">
        <v>42</v>
      </c>
      <c r="D1913" s="1">
        <v>6084</v>
      </c>
      <c r="E1913" s="1">
        <v>35143</v>
      </c>
      <c r="F1913" s="2">
        <v>34421</v>
      </c>
    </row>
    <row r="1914" spans="1:6" x14ac:dyDescent="0.75">
      <c r="A1914">
        <v>2022</v>
      </c>
      <c r="B1914" t="s">
        <v>60</v>
      </c>
      <c r="C1914" t="s">
        <v>43</v>
      </c>
      <c r="D1914" s="1">
        <v>1958</v>
      </c>
      <c r="E1914" s="1">
        <v>8658</v>
      </c>
      <c r="F1914" s="2">
        <v>34757</v>
      </c>
    </row>
    <row r="1915" spans="1:6" x14ac:dyDescent="0.75">
      <c r="A1915">
        <v>2022</v>
      </c>
      <c r="B1915" t="s">
        <v>60</v>
      </c>
      <c r="C1915" t="s">
        <v>44</v>
      </c>
      <c r="D1915" s="1">
        <v>32154</v>
      </c>
      <c r="E1915" s="1">
        <v>141985</v>
      </c>
      <c r="F1915" s="2">
        <v>42290</v>
      </c>
    </row>
    <row r="1916" spans="1:6" x14ac:dyDescent="0.75">
      <c r="A1916">
        <v>2022</v>
      </c>
      <c r="B1916" t="s">
        <v>60</v>
      </c>
      <c r="C1916" t="s">
        <v>45</v>
      </c>
      <c r="D1916" s="1">
        <v>19701</v>
      </c>
      <c r="E1916" s="1">
        <v>97492</v>
      </c>
      <c r="F1916" s="2">
        <v>38822</v>
      </c>
    </row>
    <row r="1917" spans="1:6" x14ac:dyDescent="0.75">
      <c r="A1917">
        <v>2022</v>
      </c>
      <c r="B1917" t="s">
        <v>60</v>
      </c>
      <c r="C1917" t="s">
        <v>46</v>
      </c>
      <c r="D1917" s="1">
        <v>5237</v>
      </c>
      <c r="E1917" s="1">
        <v>19979</v>
      </c>
      <c r="F1917" s="2">
        <v>29927</v>
      </c>
    </row>
    <row r="1918" spans="1:6" x14ac:dyDescent="0.75">
      <c r="A1918">
        <v>2022</v>
      </c>
      <c r="B1918" t="s">
        <v>60</v>
      </c>
      <c r="C1918" t="s">
        <v>47</v>
      </c>
      <c r="D1918" s="1">
        <v>14001</v>
      </c>
      <c r="E1918" s="1">
        <v>84153</v>
      </c>
      <c r="F1918" s="2">
        <v>29242</v>
      </c>
    </row>
    <row r="1919" spans="1:6" x14ac:dyDescent="0.75">
      <c r="A1919">
        <v>2022</v>
      </c>
      <c r="B1919" t="s">
        <v>60</v>
      </c>
      <c r="C1919" t="s">
        <v>48</v>
      </c>
      <c r="D1919" s="1">
        <v>1656</v>
      </c>
      <c r="E1919" s="1">
        <v>7231</v>
      </c>
      <c r="F1919" s="2">
        <v>35035</v>
      </c>
    </row>
  </sheetData>
  <customSheetViews>
    <customSheetView guid="{948164EF-B902-4A6C-8E3C-A935061C5153}" state="hidden">
      <selection activeCell="F150" sqref="F150"/>
      <pageMargins left="0.7" right="0.7" top="0.75" bottom="0.75" header="0.3" footer="0.3"/>
      <pageSetup orientation="portrait" r:id="rId1"/>
    </customSheetView>
    <customSheetView guid="{A1F01C08-243B-48FC-94A8-F102AEB1706D}">
      <selection activeCell="F150" sqref="F150"/>
      <pageMargins left="0.7" right="0.7" top="0.75" bottom="0.75" header="0.3" footer="0.3"/>
      <pageSetup orientation="portrait" r:id="rId2"/>
    </customSheetView>
  </customSheetView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86101-5992-4CAB-BD98-F96D1DC5D82D}">
  <dimension ref="A1:T50"/>
  <sheetViews>
    <sheetView topLeftCell="B1" workbookViewId="0">
      <selection activeCell="F16" sqref="F16"/>
    </sheetView>
  </sheetViews>
  <sheetFormatPr defaultRowHeight="14.75" x14ac:dyDescent="0.75"/>
  <cols>
    <col min="1" max="1" width="20.6328125" bestFit="1" customWidth="1"/>
    <col min="2" max="2" width="26.453125" customWidth="1"/>
    <col min="4" max="4" width="20.6328125" bestFit="1" customWidth="1"/>
    <col min="5" max="5" width="16.953125" customWidth="1"/>
    <col min="6" max="6" width="15.86328125" customWidth="1"/>
    <col min="8" max="8" width="24.1328125" customWidth="1"/>
    <col min="9" max="9" width="10.6796875" bestFit="1" customWidth="1"/>
    <col min="12" max="12" width="11.76953125" customWidth="1"/>
    <col min="13" max="13" width="13.81640625" customWidth="1"/>
    <col min="15" max="15" width="12.6796875" customWidth="1"/>
    <col min="16" max="16" width="13.40625" customWidth="1"/>
    <col min="17" max="17" width="10.1328125" customWidth="1"/>
    <col min="18" max="18" width="23.76953125" bestFit="1" customWidth="1"/>
    <col min="19" max="19" width="14.08984375" bestFit="1" customWidth="1"/>
    <col min="21" max="21" width="9.6796875" bestFit="1" customWidth="1"/>
  </cols>
  <sheetData>
    <row r="1" spans="1:20" x14ac:dyDescent="0.75">
      <c r="A1" s="9" t="s">
        <v>64</v>
      </c>
      <c r="B1" s="9"/>
      <c r="D1" s="10" t="s">
        <v>68</v>
      </c>
      <c r="E1" s="11"/>
      <c r="F1" s="11"/>
      <c r="H1" s="10" t="s">
        <v>69</v>
      </c>
      <c r="I1" s="11"/>
      <c r="K1" s="10" t="s">
        <v>72</v>
      </c>
      <c r="L1" s="11"/>
      <c r="M1" s="11"/>
      <c r="O1" s="10" t="s">
        <v>74</v>
      </c>
      <c r="P1" s="11"/>
      <c r="Q1" s="11"/>
      <c r="R1" s="11"/>
      <c r="S1" s="11"/>
      <c r="T1" s="11"/>
    </row>
    <row r="2" spans="1:20" x14ac:dyDescent="0.75">
      <c r="A2" s="7" t="s">
        <v>49</v>
      </c>
      <c r="B2" s="7" t="s">
        <v>65</v>
      </c>
      <c r="D2" s="6" t="s">
        <v>49</v>
      </c>
      <c r="E2" s="6" t="s">
        <v>63</v>
      </c>
      <c r="F2" s="6" t="s">
        <v>65</v>
      </c>
      <c r="H2" s="6" t="s">
        <v>49</v>
      </c>
      <c r="I2" s="6" t="s">
        <v>62</v>
      </c>
      <c r="K2" s="6" t="s">
        <v>50</v>
      </c>
      <c r="L2" s="6" t="s">
        <v>73</v>
      </c>
      <c r="M2" s="6" t="s">
        <v>62</v>
      </c>
      <c r="O2" s="6" t="s">
        <v>0</v>
      </c>
      <c r="P2" s="6" t="s">
        <v>62</v>
      </c>
      <c r="Q2" s="6" t="s">
        <v>75</v>
      </c>
      <c r="R2" s="6" t="s">
        <v>76</v>
      </c>
      <c r="S2" s="6" t="s">
        <v>77</v>
      </c>
      <c r="T2" s="6" t="str">
        <f>B18</f>
        <v>Average Wages</v>
      </c>
    </row>
    <row r="3" spans="1:20" x14ac:dyDescent="0.75">
      <c r="A3" t="s">
        <v>57</v>
      </c>
      <c r="B3" t="str">
        <f>Dashboard!B6</f>
        <v>Business Services</v>
      </c>
      <c r="D3" t="s">
        <v>53</v>
      </c>
      <c r="E3" s="2">
        <f>AVERAGEIFS(Data!F:F,Data!B:B,D3,Data!A:A,$B$15)</f>
        <v>93586.333333333328</v>
      </c>
      <c r="F3" s="2">
        <f>IF(D3=$B$3,E3,0)</f>
        <v>0</v>
      </c>
      <c r="H3" t="s">
        <v>54</v>
      </c>
      <c r="I3" s="1">
        <f>SUMIFS(Data!E:E,Data!B:B,H3,Data!A:A,$B$15)</f>
        <v>26277342</v>
      </c>
      <c r="K3">
        <v>2022</v>
      </c>
      <c r="L3" s="12">
        <f>AVERAGEIFS(Data!F:F,Data!B:B,'Data Prep'!$B$3,Data!A:A,'Data Prep'!K3)</f>
        <v>64714.4375</v>
      </c>
      <c r="M3" s="1">
        <f>SUMIFS(Data!E:E,Data!B:B,'Data Prep'!$B$3,Data!A:A,'Data Prep'!K3)</f>
        <v>20063464</v>
      </c>
      <c r="O3" t="s">
        <v>1</v>
      </c>
      <c r="P3" s="1">
        <f>SUMIFS(Data!E:E,Data!B:B,'Data Prep'!$B$3,Data!A:A,'Data Prep'!$B$15,Data!C:C,'Data Prep'!O3)</f>
        <v>242419</v>
      </c>
      <c r="Q3" vm="1">
        <v>5157699</v>
      </c>
      <c r="R3" s="13">
        <f>P3/Q3*1000</f>
        <v>47.00138569544287</v>
      </c>
      <c r="S3" s="2">
        <f>AVERAGEIFS(Data!F:F,Data!B:B,'Data Prep'!$B$3,Data!A:A,'Data Prep'!$B$15,Data!C:C,'Data Prep'!O3)</f>
        <v>62111</v>
      </c>
      <c r="T3" s="14">
        <f>IF($T$2=$S$2,-S3,R3)</f>
        <v>-62111</v>
      </c>
    </row>
    <row r="4" spans="1:20" x14ac:dyDescent="0.75">
      <c r="A4" t="s">
        <v>51</v>
      </c>
      <c r="D4" t="s">
        <v>56</v>
      </c>
      <c r="E4" s="2">
        <f>AVERAGEIFS(Data!F:F,Data!B:B,D4,Data!A:A,$B$15)</f>
        <v>90040.666666666672</v>
      </c>
      <c r="F4" s="2">
        <f t="shared" ref="F4:F12" si="0">IF(D4=$B$3,E4,0)</f>
        <v>0</v>
      </c>
      <c r="H4" t="s">
        <v>58</v>
      </c>
      <c r="I4" s="1">
        <f>SUMIFS(Data!E:E,Data!B:B,H4,Data!A:A,$B$15)</f>
        <v>22035033</v>
      </c>
      <c r="K4">
        <v>2023</v>
      </c>
      <c r="L4" s="12">
        <f>AVERAGEIFS(Data!F:F,Data!B:B,'Data Prep'!$B$3,Data!A:A,'Data Prep'!K4)</f>
        <v>66836.25</v>
      </c>
      <c r="M4" s="1">
        <f>SUMIFS(Data!E:E,Data!B:B,'Data Prep'!$B$3,Data!A:A,'Data Prep'!K4)</f>
        <v>20594171</v>
      </c>
      <c r="O4" t="s">
        <v>2</v>
      </c>
      <c r="P4" s="1">
        <f>SUMIFS(Data!E:E,Data!B:B,'Data Prep'!$B$3,Data!A:A,'Data Prep'!$B$15,Data!C:C,'Data Prep'!O4)</f>
        <v>431379</v>
      </c>
      <c r="Q4" vm="2">
        <v>7582384</v>
      </c>
      <c r="R4" s="13">
        <f t="shared" ref="R4:R50" si="1">P4/Q4*1000</f>
        <v>56.8922650184955</v>
      </c>
      <c r="S4" s="2">
        <f>AVERAGEIFS(Data!F:F,Data!B:B,'Data Prep'!$B$3,Data!A:A,'Data Prep'!$B$15,Data!C:C,'Data Prep'!O4)</f>
        <v>63180</v>
      </c>
      <c r="T4" s="14">
        <f t="shared" ref="T4:T50" si="2">IF($T$2=$S$2,-S4,R4)</f>
        <v>-63180</v>
      </c>
    </row>
    <row r="5" spans="1:20" x14ac:dyDescent="0.75">
      <c r="A5" t="s">
        <v>58</v>
      </c>
      <c r="D5" t="s">
        <v>57</v>
      </c>
      <c r="E5" s="2">
        <f>AVERAGEIFS(Data!F:F,Data!B:B,D5,Data!A:A,$B$15)</f>
        <v>74713.0625</v>
      </c>
      <c r="F5" s="2">
        <f t="shared" si="0"/>
        <v>74713.0625</v>
      </c>
      <c r="H5" t="s">
        <v>57</v>
      </c>
      <c r="I5" s="1">
        <f>SUMIFS(Data!E:E,Data!B:B,H5,Data!A:A,$B$15)</f>
        <v>20065896</v>
      </c>
      <c r="K5">
        <v>2024</v>
      </c>
      <c r="L5" s="12">
        <f>AVERAGEIFS(Data!F:F,Data!B:B,'Data Prep'!$B$3,Data!A:A,'Data Prep'!K5)</f>
        <v>69592.166666666672</v>
      </c>
      <c r="M5" s="1">
        <f>SUMIFS(Data!E:E,Data!B:B,'Data Prep'!$B$3,Data!A:A,'Data Prep'!K5)</f>
        <v>20961286</v>
      </c>
      <c r="O5" t="s">
        <v>3</v>
      </c>
      <c r="P5" s="1">
        <f>SUMIFS(Data!E:E,Data!B:B,'Data Prep'!$B$3,Data!A:A,'Data Prep'!$B$15,Data!C:C,'Data Prep'!O5)</f>
        <v>139300</v>
      </c>
      <c r="Q5" vm="3">
        <v>3088354</v>
      </c>
      <c r="R5" s="13">
        <f t="shared" si="1"/>
        <v>45.10493291895942</v>
      </c>
      <c r="S5" s="2">
        <f>AVERAGEIFS(Data!F:F,Data!B:B,'Data Prep'!$B$3,Data!A:A,'Data Prep'!$B$15,Data!C:C,'Data Prep'!O5)</f>
        <v>68067</v>
      </c>
      <c r="T5" s="14">
        <f t="shared" si="2"/>
        <v>-68067</v>
      </c>
    </row>
    <row r="6" spans="1:20" x14ac:dyDescent="0.75">
      <c r="A6" t="s">
        <v>56</v>
      </c>
      <c r="D6" t="s">
        <v>52</v>
      </c>
      <c r="E6" s="2">
        <f>AVERAGEIFS(Data!F:F,Data!B:B,D6,Data!A:A,$B$15)</f>
        <v>68427.875</v>
      </c>
      <c r="F6" s="2">
        <f t="shared" si="0"/>
        <v>0</v>
      </c>
      <c r="H6" t="s">
        <v>59</v>
      </c>
      <c r="I6" s="1">
        <f>SUMIFS(Data!E:E,Data!B:B,H6,Data!A:A,$B$15)</f>
        <v>12649500</v>
      </c>
      <c r="K6">
        <v>2025</v>
      </c>
      <c r="L6" s="12">
        <f>AVERAGEIFS(Data!F:F,Data!B:B,'Data Prep'!$B$3,Data!A:A,'Data Prep'!K6)</f>
        <v>74713.0625</v>
      </c>
      <c r="M6" s="1">
        <f>SUMIFS(Data!E:E,Data!B:B,'Data Prep'!$B$3,Data!A:A,'Data Prep'!K6)</f>
        <v>20065896</v>
      </c>
      <c r="O6" t="s">
        <v>4</v>
      </c>
      <c r="P6" s="1">
        <f>SUMIFS(Data!E:E,Data!B:B,'Data Prep'!$B$3,Data!A:A,'Data Prep'!$B$15,Data!C:C,'Data Prep'!O6)</f>
        <v>2600604</v>
      </c>
      <c r="Q6" vm="4">
        <v>39431263</v>
      </c>
      <c r="R6" s="13">
        <f t="shared" si="1"/>
        <v>65.952845588537201</v>
      </c>
      <c r="S6" s="2">
        <f>AVERAGEIFS(Data!F:F,Data!B:B,'Data Prep'!$B$3,Data!A:A,'Data Prep'!$B$15,Data!C:C,'Data Prep'!O6)</f>
        <v>106486</v>
      </c>
      <c r="T6" s="14">
        <f t="shared" si="2"/>
        <v>-106486</v>
      </c>
    </row>
    <row r="7" spans="1:20" x14ac:dyDescent="0.75">
      <c r="A7" t="s">
        <v>53</v>
      </c>
      <c r="D7" t="s">
        <v>51</v>
      </c>
      <c r="E7" s="2">
        <f>AVERAGEIFS(Data!F:F,Data!B:B,D7,Data!A:A,$B$15)</f>
        <v>63896.895833333336</v>
      </c>
      <c r="F7" s="2">
        <f t="shared" si="0"/>
        <v>0</v>
      </c>
      <c r="H7" t="s">
        <v>52</v>
      </c>
      <c r="I7" s="1">
        <f>SUMIFS(Data!E:E,Data!B:B,H7,Data!A:A,$B$15)</f>
        <v>12058694</v>
      </c>
      <c r="O7" t="s">
        <v>5</v>
      </c>
      <c r="P7" s="1">
        <f>SUMIFS(Data!E:E,Data!B:B,'Data Prep'!$B$3,Data!A:A,'Data Prep'!$B$15,Data!C:C,'Data Prep'!O7)</f>
        <v>430367</v>
      </c>
      <c r="Q7" vm="5">
        <v>5957493</v>
      </c>
      <c r="R7" s="13">
        <f t="shared" si="1"/>
        <v>72.239614884986025</v>
      </c>
      <c r="S7" s="2">
        <f>AVERAGEIFS(Data!F:F,Data!B:B,'Data Prep'!$B$3,Data!A:A,'Data Prep'!$B$15,Data!C:C,'Data Prep'!O7)</f>
        <v>90744</v>
      </c>
      <c r="T7" s="14">
        <f t="shared" si="2"/>
        <v>-90744</v>
      </c>
    </row>
    <row r="8" spans="1:20" x14ac:dyDescent="0.75">
      <c r="A8" t="s">
        <v>59</v>
      </c>
      <c r="D8" t="s">
        <v>55</v>
      </c>
      <c r="E8" s="2">
        <f>AVERAGEIFS(Data!F:F,Data!B:B,D8,Data!A:A,$B$15)</f>
        <v>55605.9375</v>
      </c>
      <c r="F8" s="2">
        <f t="shared" si="0"/>
        <v>0</v>
      </c>
      <c r="H8" t="s">
        <v>56</v>
      </c>
      <c r="I8" s="1">
        <f>SUMIFS(Data!E:E,Data!B:B,H8,Data!A:A,$B$15)</f>
        <v>8142043</v>
      </c>
      <c r="O8" t="s">
        <v>6</v>
      </c>
      <c r="P8" s="1">
        <f>SUMIFS(Data!E:E,Data!B:B,'Data Prep'!$B$3,Data!A:A,'Data Prep'!$B$15,Data!C:C,'Data Prep'!O8)</f>
        <v>206629</v>
      </c>
      <c r="Q8" vm="6">
        <v>3675069</v>
      </c>
      <c r="R8" s="13">
        <f t="shared" si="1"/>
        <v>56.224522587194961</v>
      </c>
      <c r="S8" s="2">
        <f>AVERAGEIFS(Data!F:F,Data!B:B,'Data Prep'!$B$3,Data!A:A,'Data Prep'!$B$15,Data!C:C,'Data Prep'!O8)</f>
        <v>95714</v>
      </c>
      <c r="T8" s="14">
        <f t="shared" si="2"/>
        <v>-95714</v>
      </c>
    </row>
    <row r="9" spans="1:20" x14ac:dyDescent="0.75">
      <c r="A9" t="s">
        <v>52</v>
      </c>
      <c r="D9" t="s">
        <v>58</v>
      </c>
      <c r="E9" s="2">
        <f>AVERAGEIFS(Data!F:F,Data!B:B,D9,Data!A:A,$B$15)</f>
        <v>53607.208333333336</v>
      </c>
      <c r="F9" s="2">
        <f t="shared" si="0"/>
        <v>0</v>
      </c>
      <c r="H9" t="s">
        <v>51</v>
      </c>
      <c r="I9" s="1">
        <f>SUMIFS(Data!E:E,Data!B:B,H9,Data!A:A,$B$15)</f>
        <v>7136444</v>
      </c>
      <c r="O9" t="s">
        <v>7</v>
      </c>
      <c r="P9" s="1">
        <f>SUMIFS(Data!E:E,Data!B:B,'Data Prep'!$B$3,Data!A:A,'Data Prep'!$B$15,Data!C:C,'Data Prep'!O9)</f>
        <v>61669</v>
      </c>
      <c r="Q9" vm="7">
        <v>1051917</v>
      </c>
      <c r="R9" s="13">
        <f t="shared" si="1"/>
        <v>58.625347817365821</v>
      </c>
      <c r="S9" s="2">
        <f>AVERAGEIFS(Data!F:F,Data!B:B,'Data Prep'!$B$3,Data!A:A,'Data Prep'!$B$15,Data!C:C,'Data Prep'!O9)</f>
        <v>85651</v>
      </c>
      <c r="T9" s="14">
        <f t="shared" si="2"/>
        <v>-85651</v>
      </c>
    </row>
    <row r="10" spans="1:20" x14ac:dyDescent="0.75">
      <c r="A10" t="s">
        <v>55</v>
      </c>
      <c r="D10" t="s">
        <v>54</v>
      </c>
      <c r="E10" s="2">
        <f>AVERAGEIFS(Data!F:F,Data!B:B,D10,Data!A:A,$B$15)</f>
        <v>49366.8125</v>
      </c>
      <c r="F10" s="2">
        <f t="shared" si="0"/>
        <v>0</v>
      </c>
      <c r="H10" t="s">
        <v>60</v>
      </c>
      <c r="I10" s="1">
        <f>SUMIFS(Data!E:E,Data!B:B,H10,Data!A:A,$B$15)</f>
        <v>3843699</v>
      </c>
      <c r="O10" t="s">
        <v>8</v>
      </c>
      <c r="P10" s="1">
        <f>SUMIFS(Data!E:E,Data!B:B,'Data Prep'!$B$3,Data!A:A,'Data Prep'!$B$15,Data!C:C,'Data Prep'!O10)</f>
        <v>1358317</v>
      </c>
      <c r="Q10" vm="8">
        <v>23372215</v>
      </c>
      <c r="R10" s="13">
        <f t="shared" si="1"/>
        <v>58.116742465358975</v>
      </c>
      <c r="S10" s="2">
        <f>AVERAGEIFS(Data!F:F,Data!B:B,'Data Prep'!$B$3,Data!A:A,'Data Prep'!$B$15,Data!C:C,'Data Prep'!O10)</f>
        <v>68223</v>
      </c>
      <c r="T10" s="14">
        <f t="shared" si="2"/>
        <v>-68223</v>
      </c>
    </row>
    <row r="11" spans="1:20" x14ac:dyDescent="0.75">
      <c r="A11" t="s">
        <v>60</v>
      </c>
      <c r="D11" t="s">
        <v>60</v>
      </c>
      <c r="E11" s="2">
        <f>AVERAGEIFS(Data!F:F,Data!B:B,D11,Data!A:A,$B$15)</f>
        <v>40790.1875</v>
      </c>
      <c r="F11" s="2">
        <f t="shared" si="0"/>
        <v>0</v>
      </c>
      <c r="H11" t="s">
        <v>53</v>
      </c>
      <c r="I11" s="1">
        <f>SUMIFS(Data!E:E,Data!B:B,H11,Data!A:A,$B$15)</f>
        <v>2677815</v>
      </c>
      <c r="O11" t="s">
        <v>9</v>
      </c>
      <c r="P11" s="1">
        <f>SUMIFS(Data!E:E,Data!B:B,'Data Prep'!$B$3,Data!A:A,'Data Prep'!$B$15,Data!C:C,'Data Prep'!O11)</f>
        <v>692452</v>
      </c>
      <c r="Q11" vm="9">
        <v>11180878</v>
      </c>
      <c r="R11" s="13">
        <f t="shared" si="1"/>
        <v>61.931808933073057</v>
      </c>
      <c r="S11" s="2">
        <f>AVERAGEIFS(Data!F:F,Data!B:B,'Data Prep'!$B$3,Data!A:A,'Data Prep'!$B$15,Data!C:C,'Data Prep'!O11)</f>
        <v>76331</v>
      </c>
      <c r="T11" s="14">
        <f t="shared" si="2"/>
        <v>-76331</v>
      </c>
    </row>
    <row r="12" spans="1:20" x14ac:dyDescent="0.75">
      <c r="A12" t="s">
        <v>54</v>
      </c>
      <c r="D12" t="s">
        <v>59</v>
      </c>
      <c r="E12" s="2">
        <f>AVERAGEIFS(Data!F:F,Data!B:B,D12,Data!A:A,$B$15)</f>
        <v>23286.416666666668</v>
      </c>
      <c r="F12" s="2">
        <f t="shared" si="0"/>
        <v>0</v>
      </c>
      <c r="H12" t="s">
        <v>55</v>
      </c>
      <c r="I12" s="1">
        <f>SUMIFS(Data!E:E,Data!B:B,H12,Data!A:A,$B$15)</f>
        <v>1762873</v>
      </c>
      <c r="O12" t="s">
        <v>10</v>
      </c>
      <c r="P12" s="1">
        <f>SUMIFS(Data!E:E,Data!B:B,'Data Prep'!$B$3,Data!A:A,'Data Prep'!$B$15,Data!C:C,'Data Prep'!O12)</f>
        <v>97097</v>
      </c>
      <c r="Q12" vm="10">
        <v>2001619</v>
      </c>
      <c r="R12" s="13">
        <f t="shared" si="1"/>
        <v>48.509231776876618</v>
      </c>
      <c r="S12" s="2">
        <f>AVERAGEIFS(Data!F:F,Data!B:B,'Data Prep'!$B$3,Data!A:A,'Data Prep'!$B$15,Data!C:C,'Data Prep'!O12)</f>
        <v>59743</v>
      </c>
      <c r="T12" s="14">
        <f t="shared" si="2"/>
        <v>-59743</v>
      </c>
    </row>
    <row r="13" spans="1:20" x14ac:dyDescent="0.75">
      <c r="O13" t="s">
        <v>11</v>
      </c>
      <c r="P13" s="1">
        <f>SUMIFS(Data!E:E,Data!B:B,'Data Prep'!$B$3,Data!A:A,'Data Prep'!$B$15,Data!C:C,'Data Prep'!O13)</f>
        <v>892150</v>
      </c>
      <c r="Q13" vm="11">
        <v>12710158</v>
      </c>
      <c r="R13" s="13">
        <f t="shared" si="1"/>
        <v>70.191889038672855</v>
      </c>
      <c r="S13" s="2">
        <f>AVERAGEIFS(Data!F:F,Data!B:B,'Data Prep'!$B$3,Data!A:A,'Data Prep'!$B$15,Data!C:C,'Data Prep'!O13)</f>
        <v>83889</v>
      </c>
      <c r="T13" s="14">
        <f t="shared" si="2"/>
        <v>-83889</v>
      </c>
    </row>
    <row r="14" spans="1:20" x14ac:dyDescent="0.75">
      <c r="A14" s="8" t="s">
        <v>66</v>
      </c>
      <c r="B14" s="8"/>
      <c r="H14" s="10" t="s">
        <v>70</v>
      </c>
      <c r="I14" s="11"/>
      <c r="O14" t="s">
        <v>12</v>
      </c>
      <c r="P14" s="1">
        <f>SUMIFS(Data!E:E,Data!B:B,'Data Prep'!$B$3,Data!A:A,'Data Prep'!$B$15,Data!C:C,'Data Prep'!O14)</f>
        <v>326745</v>
      </c>
      <c r="Q14" vm="12">
        <v>6924275</v>
      </c>
      <c r="R14" s="13">
        <f t="shared" si="1"/>
        <v>47.188333796679075</v>
      </c>
      <c r="S14" s="2">
        <f>AVERAGEIFS(Data!F:F,Data!B:B,'Data Prep'!$B$3,Data!A:A,'Data Prep'!$B$15,Data!C:C,'Data Prep'!O14)</f>
        <v>58578</v>
      </c>
      <c r="T14" s="14">
        <f t="shared" si="2"/>
        <v>-58578</v>
      </c>
    </row>
    <row r="15" spans="1:20" x14ac:dyDescent="0.75">
      <c r="A15" s="4" t="s">
        <v>67</v>
      </c>
      <c r="B15" s="5">
        <v>2025</v>
      </c>
      <c r="D15" t="str">
        <f>INDEX(D3:D12,3)</f>
        <v>Business Services</v>
      </c>
      <c r="H15" s="6" t="s">
        <v>49</v>
      </c>
      <c r="I15" s="6" t="s">
        <v>62</v>
      </c>
      <c r="O15" t="s">
        <v>13</v>
      </c>
      <c r="P15" s="1">
        <f>SUMIFS(Data!E:E,Data!B:B,'Data Prep'!$B$3,Data!A:A,'Data Prep'!$B$15,Data!C:C,'Data Prep'!O15)</f>
        <v>134822</v>
      </c>
      <c r="Q15" vm="13">
        <v>3241488</v>
      </c>
      <c r="R15" s="13">
        <f t="shared" si="1"/>
        <v>41.592626596180523</v>
      </c>
      <c r="S15" s="2">
        <f>AVERAGEIFS(Data!F:F,Data!B:B,'Data Prep'!$B$3,Data!A:A,'Data Prep'!$B$15,Data!C:C,'Data Prep'!O15)</f>
        <v>61793</v>
      </c>
      <c r="T15" s="14">
        <f t="shared" si="2"/>
        <v>-61793</v>
      </c>
    </row>
    <row r="16" spans="1:20" x14ac:dyDescent="0.75">
      <c r="H16" t="str">
        <f>B3</f>
        <v>Business Services</v>
      </c>
      <c r="I16" s="1">
        <f>VLOOKUP(B3,H3:I12,2,0)</f>
        <v>20065896</v>
      </c>
      <c r="O16" t="s">
        <v>14</v>
      </c>
      <c r="P16" s="1">
        <f>SUMIFS(Data!E:E,Data!B:B,'Data Prep'!$B$3,Data!A:A,'Data Prep'!$B$15,Data!C:C,'Data Prep'!O16)</f>
        <v>168813</v>
      </c>
      <c r="Q16" vm="14">
        <v>2970606</v>
      </c>
      <c r="R16" s="13">
        <f t="shared" si="1"/>
        <v>56.8277987723717</v>
      </c>
      <c r="S16" s="2">
        <f>AVERAGEIFS(Data!F:F,Data!B:B,'Data Prep'!$B$3,Data!A:A,'Data Prep'!$B$15,Data!C:C,'Data Prep'!O16)</f>
        <v>69538</v>
      </c>
      <c r="T16" s="14">
        <f t="shared" si="2"/>
        <v>-69538</v>
      </c>
    </row>
    <row r="17" spans="1:20" x14ac:dyDescent="0.75">
      <c r="A17" s="8" t="s">
        <v>78</v>
      </c>
      <c r="B17" s="8"/>
      <c r="H17" t="s">
        <v>71</v>
      </c>
      <c r="I17" s="1">
        <f>SUM(I3:I12)-I16</f>
        <v>96583443</v>
      </c>
      <c r="O17" t="s">
        <v>15</v>
      </c>
      <c r="P17" s="1">
        <f>SUMIFS(Data!E:E,Data!B:B,'Data Prep'!$B$3,Data!A:A,'Data Prep'!$B$15,Data!C:C,'Data Prep'!O17)</f>
        <v>207575</v>
      </c>
      <c r="Q17" vm="15">
        <v>4588372</v>
      </c>
      <c r="R17" s="13">
        <f t="shared" si="1"/>
        <v>45.239357227356457</v>
      </c>
      <c r="S17" s="2">
        <f>AVERAGEIFS(Data!F:F,Data!B:B,'Data Prep'!$B$3,Data!A:A,'Data Prep'!$B$15,Data!C:C,'Data Prep'!O17)</f>
        <v>55987</v>
      </c>
      <c r="T17" s="14">
        <f t="shared" si="2"/>
        <v>-55987</v>
      </c>
    </row>
    <row r="18" spans="1:20" x14ac:dyDescent="0.75">
      <c r="A18" s="4" t="s">
        <v>79</v>
      </c>
      <c r="B18" t="str">
        <f>IF(Dashboard!A2=1,'Data Prep'!S2,'Data Prep'!R2)</f>
        <v>Average Wages</v>
      </c>
      <c r="O18" t="s">
        <v>16</v>
      </c>
      <c r="P18" s="1">
        <f>SUMIFS(Data!E:E,Data!B:B,'Data Prep'!$B$3,Data!A:A,'Data Prep'!$B$15,Data!C:C,'Data Prep'!O18)</f>
        <v>204729</v>
      </c>
      <c r="Q18" vm="16">
        <v>4597740</v>
      </c>
      <c r="R18" s="13">
        <f t="shared" si="1"/>
        <v>44.528181236868548</v>
      </c>
      <c r="S18" s="2">
        <f>AVERAGEIFS(Data!F:F,Data!B:B,'Data Prep'!$B$3,Data!A:A,'Data Prep'!$B$15,Data!C:C,'Data Prep'!O18)</f>
        <v>60136</v>
      </c>
      <c r="T18" s="14">
        <f t="shared" si="2"/>
        <v>-60136</v>
      </c>
    </row>
    <row r="19" spans="1:20" x14ac:dyDescent="0.75">
      <c r="H19" s="4" t="s">
        <v>80</v>
      </c>
      <c r="I19" s="15">
        <f>I16/SUM(I16:I17)</f>
        <v>0.17201894303061588</v>
      </c>
      <c r="O19" t="s">
        <v>17</v>
      </c>
      <c r="P19" s="1">
        <f>SUMIFS(Data!E:E,Data!B:B,'Data Prep'!$B$3,Data!A:A,'Data Prep'!$B$15,Data!C:C,'Data Prep'!O19)</f>
        <v>68952</v>
      </c>
      <c r="Q19" vm="17">
        <v>1405012</v>
      </c>
      <c r="R19" s="13">
        <f t="shared" si="1"/>
        <v>49.075737431424074</v>
      </c>
      <c r="S19" s="2">
        <f>AVERAGEIFS(Data!F:F,Data!B:B,'Data Prep'!$B$3,Data!A:A,'Data Prep'!$B$15,Data!C:C,'Data Prep'!O19)</f>
        <v>66178</v>
      </c>
      <c r="T19" s="14">
        <f t="shared" si="2"/>
        <v>-66178</v>
      </c>
    </row>
    <row r="20" spans="1:20" x14ac:dyDescent="0.75">
      <c r="O20" t="s">
        <v>18</v>
      </c>
      <c r="P20" s="1">
        <f>SUMIFS(Data!E:E,Data!B:B,'Data Prep'!$B$3,Data!A:A,'Data Prep'!$B$15,Data!C:C,'Data Prep'!O20)</f>
        <v>441860</v>
      </c>
      <c r="Q20" vm="18">
        <v>6263220</v>
      </c>
      <c r="R20" s="13">
        <f t="shared" si="1"/>
        <v>70.54837607492631</v>
      </c>
      <c r="S20" s="2">
        <f>AVERAGEIFS(Data!F:F,Data!B:B,'Data Prep'!$B$3,Data!A:A,'Data Prep'!$B$15,Data!C:C,'Data Prep'!O20)</f>
        <v>88391</v>
      </c>
      <c r="T20" s="14">
        <f t="shared" si="2"/>
        <v>-88391</v>
      </c>
    </row>
    <row r="21" spans="1:20" x14ac:dyDescent="0.75">
      <c r="O21" t="s">
        <v>19</v>
      </c>
      <c r="P21" s="1">
        <f>SUMIFS(Data!E:E,Data!B:B,'Data Prep'!$B$3,Data!A:A,'Data Prep'!$B$15,Data!C:C,'Data Prep'!O21)</f>
        <v>583792</v>
      </c>
      <c r="Q21" vm="19">
        <v>7136171</v>
      </c>
      <c r="R21" s="13">
        <f t="shared" si="1"/>
        <v>81.80745668790729</v>
      </c>
      <c r="S21" s="2">
        <f>AVERAGEIFS(Data!F:F,Data!B:B,'Data Prep'!$B$3,Data!A:A,'Data Prep'!$B$15,Data!C:C,'Data Prep'!O21)</f>
        <v>124638</v>
      </c>
      <c r="T21" s="14">
        <f t="shared" si="2"/>
        <v>-124638</v>
      </c>
    </row>
    <row r="22" spans="1:20" x14ac:dyDescent="0.75">
      <c r="O22" t="s">
        <v>20</v>
      </c>
      <c r="P22" s="1">
        <f>SUMIFS(Data!E:E,Data!B:B,'Data Prep'!$B$3,Data!A:A,'Data Prep'!$B$15,Data!C:C,'Data Prep'!O22)</f>
        <v>599657</v>
      </c>
      <c r="Q22" vm="20">
        <v>10140459</v>
      </c>
      <c r="R22" s="13">
        <f t="shared" si="1"/>
        <v>59.13509437787777</v>
      </c>
      <c r="S22" s="2">
        <f>AVERAGEIFS(Data!F:F,Data!B:B,'Data Prep'!$B$3,Data!A:A,'Data Prep'!$B$15,Data!C:C,'Data Prep'!O22)</f>
        <v>76432</v>
      </c>
      <c r="T22" s="14">
        <f t="shared" si="2"/>
        <v>-76432</v>
      </c>
    </row>
    <row r="23" spans="1:20" x14ac:dyDescent="0.75">
      <c r="O23" t="s">
        <v>21</v>
      </c>
      <c r="P23" s="1">
        <f>SUMIFS(Data!E:E,Data!B:B,'Data Prep'!$B$3,Data!A:A,'Data Prep'!$B$15,Data!C:C,'Data Prep'!O23)</f>
        <v>361183</v>
      </c>
      <c r="Q23" vm="21">
        <v>5793151</v>
      </c>
      <c r="R23" s="13">
        <f t="shared" si="1"/>
        <v>62.3465537148954</v>
      </c>
      <c r="S23" s="2">
        <f>AVERAGEIFS(Data!F:F,Data!B:B,'Data Prep'!$B$3,Data!A:A,'Data Prep'!$B$15,Data!C:C,'Data Prep'!O23)</f>
        <v>91033</v>
      </c>
      <c r="T23" s="14">
        <f t="shared" si="2"/>
        <v>-91033</v>
      </c>
    </row>
    <row r="24" spans="1:20" x14ac:dyDescent="0.75">
      <c r="O24" t="s">
        <v>22</v>
      </c>
      <c r="P24" s="1">
        <f>SUMIFS(Data!E:E,Data!B:B,'Data Prep'!$B$3,Data!A:A,'Data Prep'!$B$15,Data!C:C,'Data Prep'!O24)</f>
        <v>107758</v>
      </c>
      <c r="Q24" vm="22">
        <v>2943045</v>
      </c>
      <c r="R24" s="13">
        <f t="shared" si="1"/>
        <v>36.614458834302567</v>
      </c>
      <c r="S24" s="2">
        <f>AVERAGEIFS(Data!F:F,Data!B:B,'Data Prep'!$B$3,Data!A:A,'Data Prep'!$B$15,Data!C:C,'Data Prep'!O24)</f>
        <v>45573</v>
      </c>
      <c r="T24" s="14">
        <f t="shared" si="2"/>
        <v>-45573</v>
      </c>
    </row>
    <row r="25" spans="1:20" x14ac:dyDescent="0.75">
      <c r="O25" t="s">
        <v>23</v>
      </c>
      <c r="P25" s="1">
        <f>SUMIFS(Data!E:E,Data!B:B,'Data Prep'!$B$3,Data!A:A,'Data Prep'!$B$15,Data!C:C,'Data Prep'!O25)</f>
        <v>365657</v>
      </c>
      <c r="Q25" vm="23">
        <v>6245466</v>
      </c>
      <c r="R25" s="13">
        <f t="shared" si="1"/>
        <v>58.547592765695946</v>
      </c>
      <c r="S25" s="2">
        <f>AVERAGEIFS(Data!F:F,Data!B:B,'Data Prep'!$B$3,Data!A:A,'Data Prep'!$B$15,Data!C:C,'Data Prep'!O25)</f>
        <v>72666</v>
      </c>
      <c r="T25" s="14">
        <f t="shared" si="2"/>
        <v>-72666</v>
      </c>
    </row>
    <row r="26" spans="1:20" x14ac:dyDescent="0.75">
      <c r="O26" t="s">
        <v>24</v>
      </c>
      <c r="P26" s="1">
        <f>SUMIFS(Data!E:E,Data!B:B,'Data Prep'!$B$3,Data!A:A,'Data Prep'!$B$15,Data!C:C,'Data Prep'!O26)</f>
        <v>43549</v>
      </c>
      <c r="Q26" vm="24">
        <v>1137233</v>
      </c>
      <c r="R26" s="13">
        <f t="shared" si="1"/>
        <v>38.293823693121816</v>
      </c>
      <c r="S26" s="2">
        <f>AVERAGEIFS(Data!F:F,Data!B:B,'Data Prep'!$B$3,Data!A:A,'Data Prep'!$B$15,Data!C:C,'Data Prep'!O26)</f>
        <v>59785</v>
      </c>
      <c r="T26" s="14">
        <f t="shared" si="2"/>
        <v>-59785</v>
      </c>
    </row>
    <row r="27" spans="1:20" x14ac:dyDescent="0.75">
      <c r="O27" t="s">
        <v>25</v>
      </c>
      <c r="P27" s="1">
        <f>SUMIFS(Data!E:E,Data!B:B,'Data Prep'!$B$3,Data!A:A,'Data Prep'!$B$15,Data!C:C,'Data Prep'!O27)</f>
        <v>117288</v>
      </c>
      <c r="Q27" vm="25">
        <v>2005465</v>
      </c>
      <c r="R27" s="13">
        <f t="shared" si="1"/>
        <v>58.484191945508897</v>
      </c>
      <c r="S27" s="2">
        <f>AVERAGEIFS(Data!F:F,Data!B:B,'Data Prep'!$B$3,Data!A:A,'Data Prep'!$B$15,Data!C:C,'Data Prep'!O27)</f>
        <v>65292</v>
      </c>
      <c r="T27" s="14">
        <f t="shared" si="2"/>
        <v>-65292</v>
      </c>
    </row>
    <row r="28" spans="1:20" x14ac:dyDescent="0.75">
      <c r="O28" t="s">
        <v>26</v>
      </c>
      <c r="P28" s="1">
        <f>SUMIFS(Data!E:E,Data!B:B,'Data Prep'!$B$3,Data!A:A,'Data Prep'!$B$15,Data!C:C,'Data Prep'!O28)</f>
        <v>179092</v>
      </c>
      <c r="Q28" vm="26">
        <v>3267467</v>
      </c>
      <c r="R28" s="13">
        <f t="shared" si="1"/>
        <v>54.810653022662514</v>
      </c>
      <c r="S28" s="2">
        <f>AVERAGEIFS(Data!F:F,Data!B:B,'Data Prep'!$B$3,Data!A:A,'Data Prep'!$B$15,Data!C:C,'Data Prep'!O28)</f>
        <v>67081</v>
      </c>
      <c r="T28" s="14">
        <f t="shared" si="2"/>
        <v>-67081</v>
      </c>
    </row>
    <row r="29" spans="1:20" x14ac:dyDescent="0.75">
      <c r="O29" t="s">
        <v>27</v>
      </c>
      <c r="P29" s="1">
        <f>SUMIFS(Data!E:E,Data!B:B,'Data Prep'!$B$3,Data!A:A,'Data Prep'!$B$15,Data!C:C,'Data Prep'!O29)</f>
        <v>81639</v>
      </c>
      <c r="Q29" vm="27">
        <v>1409032</v>
      </c>
      <c r="R29" s="13">
        <f t="shared" si="1"/>
        <v>57.939777095197272</v>
      </c>
      <c r="S29" s="2">
        <f>AVERAGEIFS(Data!F:F,Data!B:B,'Data Prep'!$B$3,Data!A:A,'Data Prep'!$B$15,Data!C:C,'Data Prep'!O29)</f>
        <v>88167</v>
      </c>
      <c r="T29" s="14">
        <f t="shared" si="2"/>
        <v>-88167</v>
      </c>
    </row>
    <row r="30" spans="1:20" x14ac:dyDescent="0.75">
      <c r="O30" t="s">
        <v>28</v>
      </c>
      <c r="P30" s="1">
        <f>SUMIFS(Data!E:E,Data!B:B,'Data Prep'!$B$3,Data!A:A,'Data Prep'!$B$15,Data!C:C,'Data Prep'!O30)</f>
        <v>643507</v>
      </c>
      <c r="Q30" vm="28">
        <v>9288994</v>
      </c>
      <c r="R30" s="13">
        <f t="shared" si="1"/>
        <v>69.276285462128627</v>
      </c>
      <c r="S30" s="2">
        <f>AVERAGEIFS(Data!F:F,Data!B:B,'Data Prep'!$B$3,Data!A:A,'Data Prep'!$B$15,Data!C:C,'Data Prep'!O30)</f>
        <v>102666</v>
      </c>
      <c r="T30" s="14">
        <f t="shared" si="2"/>
        <v>-102666</v>
      </c>
    </row>
    <row r="31" spans="1:20" x14ac:dyDescent="0.75">
      <c r="O31" t="s">
        <v>29</v>
      </c>
      <c r="P31" s="1">
        <f>SUMIFS(Data!E:E,Data!B:B,'Data Prep'!$B$3,Data!A:A,'Data Prep'!$B$15,Data!C:C,'Data Prep'!O31)</f>
        <v>107707</v>
      </c>
      <c r="Q31" vm="29">
        <v>2130256</v>
      </c>
      <c r="R31" s="13">
        <f t="shared" si="1"/>
        <v>50.560589900932094</v>
      </c>
      <c r="S31" s="2">
        <f>AVERAGEIFS(Data!F:F,Data!B:B,'Data Prep'!$B$3,Data!A:A,'Data Prep'!$B$15,Data!C:C,'Data Prep'!O31)</f>
        <v>69938</v>
      </c>
      <c r="T31" s="14">
        <f t="shared" si="2"/>
        <v>-69938</v>
      </c>
    </row>
    <row r="32" spans="1:20" x14ac:dyDescent="0.75">
      <c r="O32" t="s">
        <v>30</v>
      </c>
      <c r="P32" s="1">
        <f>SUMIFS(Data!E:E,Data!B:B,'Data Prep'!$B$3,Data!A:A,'Data Prep'!$B$15,Data!C:C,'Data Prep'!O32)</f>
        <v>1242471</v>
      </c>
      <c r="Q32" vm="30">
        <v>20201249</v>
      </c>
      <c r="R32" s="13">
        <f t="shared" si="1"/>
        <v>61.504662409735154</v>
      </c>
      <c r="S32" s="2">
        <f>AVERAGEIFS(Data!F:F,Data!B:B,'Data Prep'!$B$3,Data!A:A,'Data Prep'!$B$15,Data!C:C,'Data Prep'!O32)</f>
        <v>109413</v>
      </c>
      <c r="T32" s="14">
        <f t="shared" si="2"/>
        <v>-109413</v>
      </c>
    </row>
    <row r="33" spans="15:20" x14ac:dyDescent="0.75">
      <c r="O33" t="s">
        <v>31</v>
      </c>
      <c r="P33" s="1">
        <f>SUMIFS(Data!E:E,Data!B:B,'Data Prep'!$B$3,Data!A:A,'Data Prep'!$B$15,Data!C:C,'Data Prep'!O33)</f>
        <v>637719</v>
      </c>
      <c r="Q33" vm="31">
        <v>11046024</v>
      </c>
      <c r="R33" s="13">
        <f t="shared" si="1"/>
        <v>57.732900091471826</v>
      </c>
      <c r="S33" s="2">
        <f>AVERAGEIFS(Data!F:F,Data!B:B,'Data Prep'!$B$3,Data!A:A,'Data Prep'!$B$15,Data!C:C,'Data Prep'!O33)</f>
        <v>72078</v>
      </c>
      <c r="T33" s="14">
        <f t="shared" si="2"/>
        <v>-72078</v>
      </c>
    </row>
    <row r="34" spans="15:20" x14ac:dyDescent="0.75">
      <c r="O34" t="s">
        <v>32</v>
      </c>
      <c r="P34" s="1">
        <f>SUMIFS(Data!E:E,Data!B:B,'Data Prep'!$B$3,Data!A:A,'Data Prep'!$B$15,Data!C:C,'Data Prep'!O34)</f>
        <v>31642</v>
      </c>
      <c r="Q34" vm="32">
        <v>796568</v>
      </c>
      <c r="R34" s="13">
        <f t="shared" si="1"/>
        <v>39.722911289431657</v>
      </c>
      <c r="S34" s="2">
        <f>AVERAGEIFS(Data!F:F,Data!B:B,'Data Prep'!$B$3,Data!A:A,'Data Prep'!$B$15,Data!C:C,'Data Prep'!O34)</f>
        <v>65877</v>
      </c>
      <c r="T34" s="14">
        <f t="shared" si="2"/>
        <v>-65877</v>
      </c>
    </row>
    <row r="35" spans="15:20" x14ac:dyDescent="0.75">
      <c r="O35" t="s">
        <v>33</v>
      </c>
      <c r="P35" s="1">
        <f>SUMIFS(Data!E:E,Data!B:B,'Data Prep'!$B$3,Data!A:A,'Data Prep'!$B$15,Data!C:C,'Data Prep'!O35)</f>
        <v>697244</v>
      </c>
      <c r="Q35" vm="33">
        <v>11883304</v>
      </c>
      <c r="R35" s="13">
        <f t="shared" si="1"/>
        <v>58.674254230978185</v>
      </c>
      <c r="S35" s="2">
        <f>AVERAGEIFS(Data!F:F,Data!B:B,'Data Prep'!$B$3,Data!A:A,'Data Prep'!$B$15,Data!C:C,'Data Prep'!O35)</f>
        <v>71920</v>
      </c>
      <c r="T35" s="14">
        <f t="shared" si="2"/>
        <v>-71920</v>
      </c>
    </row>
    <row r="36" spans="15:20" x14ac:dyDescent="0.75">
      <c r="O36" t="s">
        <v>34</v>
      </c>
      <c r="P36" s="1">
        <f>SUMIFS(Data!E:E,Data!B:B,'Data Prep'!$B$3,Data!A:A,'Data Prep'!$B$15,Data!C:C,'Data Prep'!O36)</f>
        <v>185307</v>
      </c>
      <c r="Q36" vm="34">
        <v>3959353</v>
      </c>
      <c r="R36" s="13">
        <f t="shared" si="1"/>
        <v>46.802343716258697</v>
      </c>
      <c r="S36" s="2">
        <f>AVERAGEIFS(Data!F:F,Data!B:B,'Data Prep'!$B$3,Data!A:A,'Data Prep'!$B$15,Data!C:C,'Data Prep'!O36)</f>
        <v>58539</v>
      </c>
      <c r="T36" s="14">
        <f t="shared" si="2"/>
        <v>-58539</v>
      </c>
    </row>
    <row r="37" spans="15:20" x14ac:dyDescent="0.75">
      <c r="O37" t="s">
        <v>35</v>
      </c>
      <c r="P37" s="1">
        <f>SUMIFS(Data!E:E,Data!B:B,'Data Prep'!$B$3,Data!A:A,'Data Prep'!$B$15,Data!C:C,'Data Prep'!O37)</f>
        <v>242218</v>
      </c>
      <c r="Q37" vm="35">
        <v>4272371</v>
      </c>
      <c r="R37" s="13">
        <f t="shared" si="1"/>
        <v>56.694046467406508</v>
      </c>
      <c r="S37" s="2">
        <f>AVERAGEIFS(Data!F:F,Data!B:B,'Data Prep'!$B$3,Data!A:A,'Data Prep'!$B$15,Data!C:C,'Data Prep'!O37)</f>
        <v>81224</v>
      </c>
      <c r="T37" s="14">
        <f t="shared" si="2"/>
        <v>-81224</v>
      </c>
    </row>
    <row r="38" spans="15:20" x14ac:dyDescent="0.75">
      <c r="O38" t="s">
        <v>36</v>
      </c>
      <c r="P38" s="1">
        <f>SUMIFS(Data!E:E,Data!B:B,'Data Prep'!$B$3,Data!A:A,'Data Prep'!$B$15,Data!C:C,'Data Prep'!O38)</f>
        <v>766122</v>
      </c>
      <c r="Q38" vm="36">
        <v>13078751</v>
      </c>
      <c r="R38" s="13">
        <f t="shared" si="1"/>
        <v>58.577611883581241</v>
      </c>
      <c r="S38" s="2">
        <f>AVERAGEIFS(Data!F:F,Data!B:B,'Data Prep'!$B$3,Data!A:A,'Data Prep'!$B$15,Data!C:C,'Data Prep'!O38)</f>
        <v>86971</v>
      </c>
      <c r="T38" s="14">
        <f t="shared" si="2"/>
        <v>-86971</v>
      </c>
    </row>
    <row r="39" spans="15:20" x14ac:dyDescent="0.75">
      <c r="O39" t="s">
        <v>37</v>
      </c>
      <c r="P39" s="1">
        <f>SUMIFS(Data!E:E,Data!B:B,'Data Prep'!$B$3,Data!A:A,'Data Prep'!$B$15,Data!C:C,'Data Prep'!O39)</f>
        <v>65232</v>
      </c>
      <c r="Q39" vm="37">
        <v>1112308</v>
      </c>
      <c r="R39" s="13">
        <f t="shared" si="1"/>
        <v>58.645626930670282</v>
      </c>
      <c r="S39" s="2">
        <f>AVERAGEIFS(Data!F:F,Data!B:B,'Data Prep'!$B$3,Data!A:A,'Data Prep'!$B$15,Data!C:C,'Data Prep'!O39)</f>
        <v>75829</v>
      </c>
      <c r="T39" s="14">
        <f t="shared" si="2"/>
        <v>-75829</v>
      </c>
    </row>
    <row r="40" spans="15:20" x14ac:dyDescent="0.75">
      <c r="O40" t="s">
        <v>38</v>
      </c>
      <c r="P40" s="1">
        <f>SUMIFS(Data!E:E,Data!B:B,'Data Prep'!$B$3,Data!A:A,'Data Prep'!$B$15,Data!C:C,'Data Prep'!O40)</f>
        <v>281874</v>
      </c>
      <c r="Q40" vm="38">
        <v>5478831</v>
      </c>
      <c r="R40" s="13">
        <f t="shared" si="1"/>
        <v>51.44783622637749</v>
      </c>
      <c r="S40" s="2">
        <f>AVERAGEIFS(Data!F:F,Data!B:B,'Data Prep'!$B$3,Data!A:A,'Data Prep'!$B$15,Data!C:C,'Data Prep'!O40)</f>
        <v>56907</v>
      </c>
      <c r="T40" s="14">
        <f t="shared" si="2"/>
        <v>-56907</v>
      </c>
    </row>
    <row r="41" spans="15:20" x14ac:dyDescent="0.75">
      <c r="O41" t="s">
        <v>39</v>
      </c>
      <c r="P41" s="1">
        <f>SUMIFS(Data!E:E,Data!B:B,'Data Prep'!$B$3,Data!A:A,'Data Prep'!$B$15,Data!C:C,'Data Prep'!O41)</f>
        <v>32771</v>
      </c>
      <c r="Q41" vm="39">
        <v>924669</v>
      </c>
      <c r="R41" s="13">
        <f t="shared" si="1"/>
        <v>35.440790163831601</v>
      </c>
      <c r="S41" s="2">
        <f>AVERAGEIFS(Data!F:F,Data!B:B,'Data Prep'!$B$3,Data!A:A,'Data Prep'!$B$15,Data!C:C,'Data Prep'!O41)</f>
        <v>63709</v>
      </c>
      <c r="T41" s="14">
        <f t="shared" si="2"/>
        <v>-63709</v>
      </c>
    </row>
    <row r="42" spans="15:20" x14ac:dyDescent="0.75">
      <c r="O42" t="s">
        <v>40</v>
      </c>
      <c r="P42" s="1">
        <f>SUMIFS(Data!E:E,Data!B:B,'Data Prep'!$B$3,Data!A:A,'Data Prep'!$B$15,Data!C:C,'Data Prep'!O42)</f>
        <v>414644</v>
      </c>
      <c r="Q42" vm="40">
        <v>7227750</v>
      </c>
      <c r="R42" s="13">
        <f t="shared" si="1"/>
        <v>57.36833731105807</v>
      </c>
      <c r="S42" s="2">
        <f>AVERAGEIFS(Data!F:F,Data!B:B,'Data Prep'!$B$3,Data!A:A,'Data Prep'!$B$15,Data!C:C,'Data Prep'!O42)</f>
        <v>66460</v>
      </c>
      <c r="T42" s="14">
        <f t="shared" si="2"/>
        <v>-66460</v>
      </c>
    </row>
    <row r="43" spans="15:20" x14ac:dyDescent="0.75">
      <c r="O43" t="s">
        <v>41</v>
      </c>
      <c r="P43" s="1">
        <f>SUMIFS(Data!E:E,Data!B:B,'Data Prep'!$B$3,Data!A:A,'Data Prep'!$B$15,Data!C:C,'Data Prep'!O43)</f>
        <v>1758991</v>
      </c>
      <c r="Q43" vm="41">
        <v>31290831</v>
      </c>
      <c r="R43" s="13">
        <f t="shared" si="1"/>
        <v>56.214262893817043</v>
      </c>
      <c r="S43" s="2">
        <f>AVERAGEIFS(Data!F:F,Data!B:B,'Data Prep'!$B$3,Data!A:A,'Data Prep'!$B$15,Data!C:C,'Data Prep'!O43)</f>
        <v>81123</v>
      </c>
      <c r="T43" s="14">
        <f t="shared" si="2"/>
        <v>-81123</v>
      </c>
    </row>
    <row r="44" spans="15:20" x14ac:dyDescent="0.75">
      <c r="O44" t="s">
        <v>42</v>
      </c>
      <c r="P44" s="1">
        <f>SUMIFS(Data!E:E,Data!B:B,'Data Prep'!$B$3,Data!A:A,'Data Prep'!$B$15,Data!C:C,'Data Prep'!O44)</f>
        <v>223284</v>
      </c>
      <c r="Q44" vm="42">
        <v>3503613</v>
      </c>
      <c r="R44" s="13">
        <f t="shared" si="1"/>
        <v>63.729641373062613</v>
      </c>
      <c r="S44" s="2">
        <f>AVERAGEIFS(Data!F:F,Data!B:B,'Data Prep'!$B$3,Data!A:A,'Data Prep'!$B$15,Data!C:C,'Data Prep'!O44)</f>
        <v>68355</v>
      </c>
      <c r="T44" s="14">
        <f t="shared" si="2"/>
        <v>-68355</v>
      </c>
    </row>
    <row r="45" spans="15:20" x14ac:dyDescent="0.75">
      <c r="O45" t="s">
        <v>43</v>
      </c>
      <c r="P45" s="1">
        <f>SUMIFS(Data!E:E,Data!B:B,'Data Prep'!$B$3,Data!A:A,'Data Prep'!$B$15,Data!C:C,'Data Prep'!O45)</f>
        <v>28512</v>
      </c>
      <c r="Q45" vm="43">
        <v>648493</v>
      </c>
      <c r="R45" s="13">
        <f t="shared" si="1"/>
        <v>43.966550140094036</v>
      </c>
      <c r="S45" s="2">
        <f>AVERAGEIFS(Data!F:F,Data!B:B,'Data Prep'!$B$3,Data!A:A,'Data Prep'!$B$15,Data!C:C,'Data Prep'!O45)</f>
        <v>74442</v>
      </c>
      <c r="T45" s="14">
        <f t="shared" si="2"/>
        <v>-74442</v>
      </c>
    </row>
    <row r="46" spans="15:20" x14ac:dyDescent="0.75">
      <c r="O46" t="s">
        <v>44</v>
      </c>
      <c r="P46" s="1">
        <f>SUMIFS(Data!E:E,Data!B:B,'Data Prep'!$B$3,Data!A:A,'Data Prep'!$B$15,Data!C:C,'Data Prep'!O46)</f>
        <v>752090</v>
      </c>
      <c r="Q46" vm="44">
        <v>8811195</v>
      </c>
      <c r="R46" s="13">
        <f t="shared" si="1"/>
        <v>85.356186079186756</v>
      </c>
      <c r="S46" s="2">
        <f>AVERAGEIFS(Data!F:F,Data!B:B,'Data Prep'!$B$3,Data!A:A,'Data Prep'!$B$15,Data!C:C,'Data Prep'!O46)</f>
        <v>96046</v>
      </c>
      <c r="T46" s="14">
        <f t="shared" si="2"/>
        <v>-96046</v>
      </c>
    </row>
    <row r="47" spans="15:20" x14ac:dyDescent="0.75">
      <c r="O47" t="s">
        <v>45</v>
      </c>
      <c r="P47" s="1">
        <f>SUMIFS(Data!E:E,Data!B:B,'Data Prep'!$B$3,Data!A:A,'Data Prep'!$B$15,Data!C:C,'Data Prep'!O47)</f>
        <v>415190</v>
      </c>
      <c r="Q47" vm="45">
        <v>7958180</v>
      </c>
      <c r="R47" s="13">
        <f t="shared" si="1"/>
        <v>52.171476392843594</v>
      </c>
      <c r="S47" s="2">
        <f>AVERAGEIFS(Data!F:F,Data!B:B,'Data Prep'!$B$3,Data!A:A,'Data Prep'!$B$15,Data!C:C,'Data Prep'!O47)</f>
        <v>92279</v>
      </c>
      <c r="T47" s="14">
        <f t="shared" si="2"/>
        <v>-92279</v>
      </c>
    </row>
    <row r="48" spans="15:20" x14ac:dyDescent="0.75">
      <c r="O48" t="s">
        <v>46</v>
      </c>
      <c r="P48" s="1">
        <f>SUMIFS(Data!E:E,Data!B:B,'Data Prep'!$B$3,Data!A:A,'Data Prep'!$B$15,Data!C:C,'Data Prep'!O48)</f>
        <v>65715</v>
      </c>
      <c r="Q48" vm="46">
        <v>1769979</v>
      </c>
      <c r="R48" s="13">
        <f t="shared" si="1"/>
        <v>37.127559140532171</v>
      </c>
      <c r="S48" s="2">
        <f>AVERAGEIFS(Data!F:F,Data!B:B,'Data Prep'!$B$3,Data!A:A,'Data Prep'!$B$15,Data!C:C,'Data Prep'!O48)</f>
        <v>53557</v>
      </c>
      <c r="T48" s="14">
        <f t="shared" si="2"/>
        <v>-53557</v>
      </c>
    </row>
    <row r="49" spans="15:20" x14ac:dyDescent="0.75">
      <c r="O49" t="s">
        <v>47</v>
      </c>
      <c r="P49" s="1">
        <f>SUMIFS(Data!E:E,Data!B:B,'Data Prep'!$B$3,Data!A:A,'Data Prep'!$B$15,Data!C:C,'Data Prep'!O49)</f>
        <v>309780</v>
      </c>
      <c r="Q49" vm="47">
        <v>5960975</v>
      </c>
      <c r="R49" s="13">
        <f t="shared" si="1"/>
        <v>51.968008589198917</v>
      </c>
      <c r="S49" s="2">
        <f>AVERAGEIFS(Data!F:F,Data!B:B,'Data Prep'!$B$3,Data!A:A,'Data Prep'!$B$15,Data!C:C,'Data Prep'!O49)</f>
        <v>67254</v>
      </c>
      <c r="T49" s="14">
        <f t="shared" si="2"/>
        <v>-67254</v>
      </c>
    </row>
    <row r="50" spans="15:20" x14ac:dyDescent="0.75">
      <c r="O50" t="s">
        <v>48</v>
      </c>
      <c r="P50" s="1">
        <f>SUMIFS(Data!E:E,Data!B:B,'Data Prep'!$B$3,Data!A:A,'Data Prep'!$B$15,Data!C:C,'Data Prep'!O50)</f>
        <v>18382</v>
      </c>
      <c r="Q50" vm="48">
        <v>587618</v>
      </c>
      <c r="R50" s="13">
        <f t="shared" si="1"/>
        <v>31.28222756961155</v>
      </c>
      <c r="S50" s="2">
        <f>AVERAGEIFS(Data!F:F,Data!B:B,'Data Prep'!$B$3,Data!A:A,'Data Prep'!$B$15,Data!C:C,'Data Prep'!O50)</f>
        <v>60233</v>
      </c>
      <c r="T50" s="14">
        <f t="shared" si="2"/>
        <v>-60233</v>
      </c>
    </row>
  </sheetData>
  <sortState xmlns:xlrd2="http://schemas.microsoft.com/office/spreadsheetml/2017/richdata2" ref="H2:I12">
    <sortCondition descending="1" ref="I2:I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2EBB-3E0B-4876-903C-D73D40ABE35E}">
  <dimension ref="A1:S42"/>
  <sheetViews>
    <sheetView showGridLines="0" showRowColHeaders="0" tabSelected="1" workbookViewId="0">
      <selection activeCell="A6" sqref="A6"/>
    </sheetView>
  </sheetViews>
  <sheetFormatPr defaultColWidth="0" defaultRowHeight="14.75" zeroHeight="1" x14ac:dyDescent="0.75"/>
  <cols>
    <col min="1" max="1" width="8.7265625" customWidth="1"/>
    <col min="2" max="2" width="45.04296875" bestFit="1" customWidth="1"/>
    <col min="3" max="9" width="8.7265625" customWidth="1"/>
    <col min="10" max="10" width="4.76953125" customWidth="1"/>
    <col min="11" max="13" width="8.7265625" customWidth="1"/>
    <col min="14" max="14" width="34.1328125" bestFit="1" customWidth="1"/>
    <col min="15" max="18" width="8.7265625" customWidth="1"/>
    <col min="19" max="19" width="3.1328125" customWidth="1"/>
    <col min="20" max="16384" width="8.7265625" hidden="1"/>
  </cols>
  <sheetData>
    <row r="1" spans="1:2" x14ac:dyDescent="0.75">
      <c r="A1" s="17">
        <v>8</v>
      </c>
    </row>
    <row r="2" spans="1:2" x14ac:dyDescent="0.75">
      <c r="A2" s="17">
        <v>1</v>
      </c>
    </row>
    <row r="3" spans="1:2" x14ac:dyDescent="0.75"/>
    <row r="4" spans="1:2" x14ac:dyDescent="0.75"/>
    <row r="5" spans="1:2" x14ac:dyDescent="0.75"/>
    <row r="6" spans="1:2" ht="31.25" x14ac:dyDescent="1.45">
      <c r="B6" s="16" t="str" cm="1">
        <f t="array" ref="B6">INDEX('Data Prep'!D3:D12,11-Dashboard!A1)</f>
        <v>Business Services</v>
      </c>
    </row>
    <row r="7" spans="1:2" x14ac:dyDescent="0.75"/>
    <row r="8" spans="1:2" x14ac:dyDescent="0.75"/>
    <row r="9" spans="1:2" x14ac:dyDescent="0.75"/>
    <row r="10" spans="1:2" x14ac:dyDescent="0.75"/>
    <row r="11" spans="1:2" x14ac:dyDescent="0.75"/>
    <row r="12" spans="1:2" x14ac:dyDescent="0.75"/>
    <row r="13" spans="1:2" x14ac:dyDescent="0.75"/>
    <row r="14" spans="1:2" x14ac:dyDescent="0.75"/>
    <row r="15" spans="1:2" x14ac:dyDescent="0.75"/>
    <row r="16" spans="1:2" x14ac:dyDescent="0.75"/>
    <row r="17" customFormat="1" x14ac:dyDescent="0.75"/>
    <row r="18" customFormat="1" x14ac:dyDescent="0.75"/>
    <row r="19" customFormat="1" x14ac:dyDescent="0.75"/>
    <row r="20" customFormat="1" x14ac:dyDescent="0.75"/>
    <row r="21" customFormat="1" x14ac:dyDescent="0.75"/>
    <row r="22" customFormat="1" x14ac:dyDescent="0.75"/>
    <row r="23" customFormat="1" x14ac:dyDescent="0.75"/>
    <row r="24" customFormat="1" x14ac:dyDescent="0.75"/>
    <row r="25" customFormat="1" x14ac:dyDescent="0.75"/>
    <row r="26" customFormat="1" x14ac:dyDescent="0.75"/>
    <row r="27" customFormat="1" x14ac:dyDescent="0.75"/>
    <row r="28" customFormat="1" x14ac:dyDescent="0.75"/>
    <row r="29" customFormat="1" x14ac:dyDescent="0.75"/>
    <row r="30" customFormat="1" x14ac:dyDescent="0.75"/>
    <row r="31" customFormat="1" x14ac:dyDescent="0.75"/>
    <row r="32" customFormat="1" x14ac:dyDescent="0.75"/>
    <row r="33" customFormat="1" x14ac:dyDescent="0.75"/>
    <row r="34" customFormat="1" x14ac:dyDescent="0.75"/>
    <row r="35" customFormat="1" x14ac:dyDescent="0.75"/>
    <row r="36" customFormat="1" x14ac:dyDescent="0.75"/>
    <row r="37" customFormat="1" hidden="1" x14ac:dyDescent="0.75"/>
    <row r="38" customFormat="1" hidden="1" x14ac:dyDescent="0.75"/>
    <row r="39" customFormat="1" hidden="1" x14ac:dyDescent="0.75"/>
    <row r="40" customFormat="1" hidden="1" x14ac:dyDescent="0.75"/>
    <row r="41" customFormat="1" hidden="1" x14ac:dyDescent="0.75"/>
    <row r="42" customFormat="1" hidden="1" x14ac:dyDescent="0.75"/>
  </sheetData>
  <sheetProtection sheet="1" selectLockedCells="1" selectUnlockedCells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Spinner 2">
              <controlPr defaultSize="0" autoPict="0">
                <anchor moveWithCells="1" sizeWithCells="1">
                  <from>
                    <xdr:col>2</xdr:col>
                    <xdr:colOff>47625</xdr:colOff>
                    <xdr:row>5</xdr:row>
                    <xdr:rowOff>19050</xdr:rowOff>
                  </from>
                  <to>
                    <xdr:col>3</xdr:col>
                    <xdr:colOff>57150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4" name="Option Button 4">
              <controlPr defaultSize="0" autoFill="0" autoLine="0" autoPict="0">
                <anchor moveWithCells="1">
                  <from>
                    <xdr:col>11</xdr:col>
                    <xdr:colOff>466725</xdr:colOff>
                    <xdr:row>6</xdr:row>
                    <xdr:rowOff>114300</xdr:rowOff>
                  </from>
                  <to>
                    <xdr:col>13</xdr:col>
                    <xdr:colOff>1609725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Option Button 5">
              <controlPr defaultSize="0" autoFill="0" autoLine="0" autoPict="0">
                <anchor moveWithCells="1">
                  <from>
                    <xdr:col>13</xdr:col>
                    <xdr:colOff>1695450</xdr:colOff>
                    <xdr:row>6</xdr:row>
                    <xdr:rowOff>161925</xdr:rowOff>
                  </from>
                  <to>
                    <xdr:col>15</xdr:col>
                    <xdr:colOff>228600</xdr:colOff>
                    <xdr:row>8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 Prep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Sarah Klein</cp:lastModifiedBy>
  <dcterms:created xsi:type="dcterms:W3CDTF">2021-09-21T20:47:02Z</dcterms:created>
  <dcterms:modified xsi:type="dcterms:W3CDTF">2026-03-23T21:00:38Z</dcterms:modified>
</cp:coreProperties>
</file>